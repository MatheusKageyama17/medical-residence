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IÁRIO\"/>
    </mc:Choice>
  </mc:AlternateContent>
  <xr:revisionPtr revIDLastSave="0" documentId="13_ncr:1_{B527D736-BB1E-4834-84CD-964D57B86697}" xr6:coauthVersionLast="47" xr6:coauthVersionMax="47" xr10:uidLastSave="{00000000-0000-0000-0000-000000000000}"/>
  <bookViews>
    <workbookView xWindow="-108" yWindow="-108" windowWidth="23256" windowHeight="12456" xr2:uid="{18D0FF97-91C7-4F0E-9BB8-55F3F8D65E43}"/>
  </bookViews>
  <sheets>
    <sheet name="Tabela Residencial 20.04.2026 " sheetId="4" r:id="rId1"/>
  </sheets>
  <definedNames>
    <definedName name="_xlnm.Print_Area" localSheetId="0">'Tabela Residencial 20.04.2026 '!$B$3:$K$37,'Tabela Residencial 20.04.2026 '!$B$39:$K$73,'Tabela Residencial 20.04.2026 '!$B$75:$K$109,'Tabela Residencial 20.04.2026 '!$B$111:$K$145,'Tabela Residencial 20.04.2026 '!$B$147:$K$181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8" i="4" l="1"/>
  <c r="J139" i="4"/>
  <c r="J140" i="4"/>
  <c r="J141" i="4"/>
  <c r="J142" i="4"/>
  <c r="J143" i="4"/>
  <c r="J144" i="4"/>
  <c r="J145" i="4"/>
  <c r="J137" i="4"/>
  <c r="J129" i="4"/>
  <c r="J130" i="4"/>
  <c r="J131" i="4"/>
  <c r="J132" i="4"/>
  <c r="J133" i="4"/>
  <c r="J134" i="4"/>
  <c r="J135" i="4"/>
  <c r="J136" i="4"/>
  <c r="J128" i="4"/>
  <c r="J120" i="4"/>
  <c r="J121" i="4"/>
  <c r="J122" i="4"/>
  <c r="J123" i="4"/>
  <c r="J124" i="4"/>
  <c r="J125" i="4"/>
  <c r="J126" i="4"/>
  <c r="J127" i="4"/>
  <c r="J119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83" i="4"/>
  <c r="J66" i="4"/>
  <c r="J67" i="4"/>
  <c r="J68" i="4"/>
  <c r="J69" i="4"/>
  <c r="J70" i="4"/>
  <c r="J71" i="4"/>
  <c r="J72" i="4"/>
  <c r="J73" i="4"/>
  <c r="J65" i="4"/>
  <c r="J57" i="4"/>
  <c r="J58" i="4"/>
  <c r="J59" i="4"/>
  <c r="J60" i="4"/>
  <c r="J61" i="4"/>
  <c r="J62" i="4"/>
  <c r="J63" i="4"/>
  <c r="J64" i="4"/>
  <c r="J56" i="4"/>
  <c r="J48" i="4"/>
  <c r="J49" i="4"/>
  <c r="J50" i="4"/>
  <c r="J51" i="4"/>
  <c r="J52" i="4"/>
  <c r="J53" i="4"/>
  <c r="J54" i="4"/>
  <c r="J55" i="4"/>
  <c r="J47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11" i="4"/>
  <c r="I138" i="4"/>
  <c r="I139" i="4"/>
  <c r="I140" i="4"/>
  <c r="I141" i="4"/>
  <c r="I142" i="4"/>
  <c r="I143" i="4"/>
  <c r="I144" i="4"/>
  <c r="I145" i="4"/>
  <c r="I137" i="4"/>
  <c r="I129" i="4"/>
  <c r="I130" i="4"/>
  <c r="I131" i="4"/>
  <c r="I132" i="4"/>
  <c r="I133" i="4"/>
  <c r="I134" i="4"/>
  <c r="I135" i="4"/>
  <c r="I136" i="4"/>
  <c r="I128" i="4"/>
  <c r="I120" i="4"/>
  <c r="I121" i="4"/>
  <c r="I122" i="4"/>
  <c r="I123" i="4"/>
  <c r="I124" i="4"/>
  <c r="I125" i="4"/>
  <c r="I126" i="4"/>
  <c r="I127" i="4"/>
  <c r="I119" i="4"/>
  <c r="I102" i="4"/>
  <c r="I103" i="4"/>
  <c r="I104" i="4"/>
  <c r="I105" i="4"/>
  <c r="I106" i="4"/>
  <c r="I107" i="4"/>
  <c r="I108" i="4"/>
  <c r="I109" i="4"/>
  <c r="I101" i="4"/>
  <c r="I93" i="4"/>
  <c r="I94" i="4"/>
  <c r="I95" i="4"/>
  <c r="I96" i="4"/>
  <c r="I97" i="4"/>
  <c r="I98" i="4"/>
  <c r="I99" i="4"/>
  <c r="I100" i="4"/>
  <c r="I92" i="4"/>
  <c r="I84" i="4"/>
  <c r="I85" i="4"/>
  <c r="I86" i="4"/>
  <c r="I87" i="4"/>
  <c r="I88" i="4"/>
  <c r="I89" i="4"/>
  <c r="I90" i="4"/>
  <c r="I91" i="4"/>
  <c r="I83" i="4"/>
  <c r="I66" i="4"/>
  <c r="I67" i="4"/>
  <c r="I68" i="4"/>
  <c r="I69" i="4"/>
  <c r="I70" i="4"/>
  <c r="I71" i="4"/>
  <c r="I72" i="4"/>
  <c r="I73" i="4"/>
  <c r="I65" i="4"/>
  <c r="I57" i="4"/>
  <c r="I58" i="4"/>
  <c r="I59" i="4"/>
  <c r="I60" i="4"/>
  <c r="I61" i="4"/>
  <c r="I62" i="4"/>
  <c r="I63" i="4"/>
  <c r="I64" i="4"/>
  <c r="I56" i="4"/>
  <c r="I48" i="4"/>
  <c r="I49" i="4"/>
  <c r="I50" i="4"/>
  <c r="I51" i="4"/>
  <c r="I52" i="4"/>
  <c r="I53" i="4"/>
  <c r="I54" i="4"/>
  <c r="I55" i="4"/>
  <c r="I47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11" i="4"/>
  <c r="H11" i="4"/>
  <c r="D146" i="4"/>
  <c r="E146" i="4"/>
  <c r="F146" i="4"/>
  <c r="G146" i="4"/>
  <c r="H146" i="4"/>
  <c r="K146" i="4"/>
  <c r="C146" i="4"/>
  <c r="C19" i="4"/>
  <c r="C15" i="4"/>
  <c r="C14" i="4"/>
  <c r="H119" i="4"/>
  <c r="K119" i="4"/>
  <c r="H120" i="4"/>
  <c r="K120" i="4"/>
  <c r="H121" i="4"/>
  <c r="K121" i="4"/>
  <c r="H122" i="4"/>
  <c r="K122" i="4"/>
  <c r="H123" i="4"/>
  <c r="K123" i="4"/>
  <c r="H124" i="4"/>
  <c r="K124" i="4"/>
  <c r="H125" i="4"/>
  <c r="K125" i="4"/>
  <c r="H126" i="4"/>
  <c r="K126" i="4"/>
  <c r="H127" i="4"/>
  <c r="K127" i="4"/>
  <c r="H128" i="4"/>
  <c r="K128" i="4"/>
  <c r="H129" i="4"/>
  <c r="K129" i="4"/>
  <c r="H130" i="4"/>
  <c r="K130" i="4"/>
  <c r="H131" i="4"/>
  <c r="K131" i="4"/>
  <c r="H132" i="4"/>
  <c r="K132" i="4"/>
  <c r="H133" i="4"/>
  <c r="K133" i="4"/>
  <c r="H134" i="4"/>
  <c r="K134" i="4"/>
  <c r="H135" i="4"/>
  <c r="K135" i="4"/>
  <c r="H136" i="4"/>
  <c r="K136" i="4"/>
  <c r="H137" i="4"/>
  <c r="K137" i="4"/>
  <c r="H138" i="4"/>
  <c r="K138" i="4"/>
  <c r="H139" i="4"/>
  <c r="K139" i="4"/>
  <c r="H140" i="4"/>
  <c r="K140" i="4"/>
  <c r="H141" i="4"/>
  <c r="K141" i="4"/>
  <c r="H142" i="4"/>
  <c r="K142" i="4"/>
  <c r="H143" i="4"/>
  <c r="K143" i="4"/>
  <c r="H144" i="4"/>
  <c r="K144" i="4"/>
  <c r="H145" i="4"/>
  <c r="K145" i="4"/>
  <c r="J111" i="4"/>
  <c r="H83" i="4"/>
  <c r="K83" i="4"/>
  <c r="H84" i="4"/>
  <c r="K84" i="4"/>
  <c r="H85" i="4"/>
  <c r="K85" i="4"/>
  <c r="H86" i="4"/>
  <c r="K86" i="4"/>
  <c r="H87" i="4"/>
  <c r="K87" i="4"/>
  <c r="H88" i="4"/>
  <c r="K88" i="4"/>
  <c r="H89" i="4"/>
  <c r="K89" i="4"/>
  <c r="H90" i="4"/>
  <c r="K90" i="4"/>
  <c r="H91" i="4"/>
  <c r="K91" i="4"/>
  <c r="H92" i="4"/>
  <c r="K92" i="4"/>
  <c r="H93" i="4"/>
  <c r="K93" i="4"/>
  <c r="H94" i="4"/>
  <c r="K94" i="4"/>
  <c r="H95" i="4"/>
  <c r="K95" i="4"/>
  <c r="H96" i="4"/>
  <c r="K96" i="4"/>
  <c r="H97" i="4"/>
  <c r="K97" i="4"/>
  <c r="H98" i="4"/>
  <c r="K98" i="4"/>
  <c r="H99" i="4"/>
  <c r="K99" i="4"/>
  <c r="H100" i="4"/>
  <c r="K100" i="4"/>
  <c r="H101" i="4"/>
  <c r="K101" i="4"/>
  <c r="H102" i="4"/>
  <c r="K102" i="4"/>
  <c r="H103" i="4"/>
  <c r="K103" i="4"/>
  <c r="H104" i="4"/>
  <c r="K104" i="4"/>
  <c r="H105" i="4"/>
  <c r="K105" i="4"/>
  <c r="H106" i="4"/>
  <c r="K106" i="4"/>
  <c r="H107" i="4"/>
  <c r="K107" i="4"/>
  <c r="H108" i="4"/>
  <c r="K108" i="4"/>
  <c r="H109" i="4"/>
  <c r="K109" i="4"/>
  <c r="J75" i="4"/>
  <c r="H47" i="4"/>
  <c r="K47" i="4"/>
  <c r="H48" i="4"/>
  <c r="K48" i="4"/>
  <c r="H49" i="4"/>
  <c r="K49" i="4"/>
  <c r="H50" i="4"/>
  <c r="K50" i="4"/>
  <c r="H51" i="4"/>
  <c r="K51" i="4"/>
  <c r="H52" i="4"/>
  <c r="K52" i="4"/>
  <c r="H53" i="4"/>
  <c r="K53" i="4"/>
  <c r="H54" i="4"/>
  <c r="K54" i="4"/>
  <c r="H55" i="4"/>
  <c r="K55" i="4"/>
  <c r="H56" i="4"/>
  <c r="K56" i="4"/>
  <c r="H57" i="4"/>
  <c r="K57" i="4"/>
  <c r="H58" i="4"/>
  <c r="K58" i="4"/>
  <c r="H59" i="4"/>
  <c r="K59" i="4"/>
  <c r="H60" i="4"/>
  <c r="K60" i="4"/>
  <c r="H61" i="4"/>
  <c r="K61" i="4"/>
  <c r="H62" i="4"/>
  <c r="K62" i="4"/>
  <c r="H63" i="4"/>
  <c r="K63" i="4"/>
  <c r="H64" i="4"/>
  <c r="K64" i="4"/>
  <c r="H65" i="4"/>
  <c r="K65" i="4"/>
  <c r="H66" i="4"/>
  <c r="K66" i="4"/>
  <c r="H67" i="4"/>
  <c r="K67" i="4"/>
  <c r="H68" i="4"/>
  <c r="K68" i="4"/>
  <c r="H69" i="4"/>
  <c r="K69" i="4"/>
  <c r="H70" i="4"/>
  <c r="K70" i="4"/>
  <c r="H71" i="4"/>
  <c r="K71" i="4"/>
  <c r="H72" i="4"/>
  <c r="K72" i="4"/>
  <c r="H73" i="4"/>
  <c r="K73" i="4"/>
  <c r="J39" i="4"/>
  <c r="K11" i="4"/>
  <c r="H12" i="4"/>
  <c r="K12" i="4"/>
  <c r="H13" i="4"/>
  <c r="K13" i="4"/>
  <c r="H14" i="4"/>
  <c r="K14" i="4"/>
  <c r="H15" i="4"/>
  <c r="K15" i="4"/>
  <c r="H16" i="4"/>
  <c r="K16" i="4"/>
  <c r="H17" i="4"/>
  <c r="K17" i="4"/>
  <c r="H18" i="4"/>
  <c r="K18" i="4"/>
  <c r="H19" i="4"/>
  <c r="K19" i="4"/>
  <c r="H20" i="4"/>
  <c r="K20" i="4"/>
  <c r="H21" i="4"/>
  <c r="K21" i="4"/>
  <c r="H22" i="4"/>
  <c r="K22" i="4"/>
  <c r="H23" i="4"/>
  <c r="K23" i="4"/>
  <c r="H24" i="4"/>
  <c r="K24" i="4"/>
  <c r="H25" i="4"/>
  <c r="K25" i="4"/>
  <c r="H26" i="4"/>
  <c r="K26" i="4"/>
  <c r="H27" i="4"/>
  <c r="K27" i="4"/>
  <c r="H28" i="4"/>
  <c r="K28" i="4"/>
  <c r="H29" i="4"/>
  <c r="K29" i="4"/>
  <c r="H30" i="4"/>
  <c r="K30" i="4"/>
  <c r="H31" i="4"/>
  <c r="K31" i="4"/>
  <c r="H32" i="4"/>
  <c r="K32" i="4"/>
  <c r="H33" i="4"/>
  <c r="K33" i="4"/>
  <c r="H34" i="4"/>
  <c r="K34" i="4"/>
  <c r="H35" i="4"/>
  <c r="K35" i="4"/>
  <c r="H36" i="4"/>
  <c r="K36" i="4"/>
  <c r="H37" i="4"/>
  <c r="K37" i="4"/>
  <c r="J146" i="4" l="1"/>
  <c r="I146" i="4"/>
  <c r="F147" i="4" l="1"/>
</calcChain>
</file>

<file path=xl/sharedStrings.xml><?xml version="1.0" encoding="utf-8"?>
<sst xmlns="http://schemas.openxmlformats.org/spreadsheetml/2006/main" count="53" uniqueCount="17">
  <si>
    <t xml:space="preserve"> Empreendimento: TIMELESS RESIDENCE</t>
  </si>
  <si>
    <t xml:space="preserve"> Endereço : Rua Tanzania, Jardim Aclimação</t>
  </si>
  <si>
    <t>PLANO DE FINANCIAMENTO NO REPASSE</t>
  </si>
  <si>
    <t xml:space="preserve"> Unidade </t>
  </si>
  <si>
    <t xml:space="preserve"> Área Privativa (m2) </t>
  </si>
  <si>
    <t xml:space="preserve"> Área Total             (m2) </t>
  </si>
  <si>
    <t>Nº Vagas Garagem</t>
  </si>
  <si>
    <t xml:space="preserve">Preço de Vendas  sem Juros </t>
  </si>
  <si>
    <t xml:space="preserve"> Parcela de Sinal  </t>
  </si>
  <si>
    <t>PARCELAS REAJUSTÁVEIS</t>
  </si>
  <si>
    <t xml:space="preserve">36 Parcelas Mensais </t>
  </si>
  <si>
    <t>Parcelas Intermediárias                   8º -  14º -  20º - 28º Mês</t>
  </si>
  <si>
    <t>Parcela de Quitção</t>
  </si>
  <si>
    <t xml:space="preserve"> Empreendimento:  TIMELESS RESIDENCE</t>
  </si>
  <si>
    <t>Parcelas Intermediárias  8º -  14º -  20º - 28º Mês</t>
  </si>
  <si>
    <t>Tabela de Vendas – Vigência: 31/05/2026.</t>
  </si>
  <si>
    <t xml:space="preserve">Área construída total        (m2)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</si>
</sst>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* #,##0.00_-;&quot;-R$&quot;* #,##0.00_-;_-&quot;R$&quot;* \-??_-;_-@_-"/>
    <numFmt numFmtId="165" formatCode="_-[$R$-416]\ * #,##0.00_-;\-[$R$-416]\ * #,##0.00_-;_-[$R$-416]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charset val="1"/>
    </font>
    <font>
      <b/>
      <sz val="9"/>
      <color rgb="FFFF0000"/>
      <name val="Arial"/>
      <family val="2"/>
    </font>
    <font>
      <sz val="9"/>
      <color indexed="8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Aptos Narrow"/>
      <family val="2"/>
      <scheme val="minor"/>
    </font>
    <font>
      <b/>
      <sz val="9"/>
      <color theme="3"/>
      <name val="Arial"/>
      <family val="2"/>
    </font>
    <font>
      <sz val="11"/>
      <color rgb="FFFF0000"/>
      <name val="Aptos Narrow"/>
      <scheme val="minor"/>
    </font>
    <font>
      <sz val="11"/>
      <color theme="0"/>
      <name val="Aptos Narrow"/>
      <family val="2"/>
      <scheme val="minor"/>
    </font>
    <font>
      <b/>
      <sz val="9"/>
      <name val="Arial"/>
      <family val="2"/>
    </font>
    <font>
      <b/>
      <sz val="9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555555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43" fontId="0" fillId="0" borderId="0" xfId="1" applyFont="1"/>
    <xf numFmtId="43" fontId="0" fillId="0" borderId="0" xfId="0" applyNumberFormat="1"/>
    <xf numFmtId="0" fontId="6" fillId="2" borderId="16" xfId="0" applyFont="1" applyFill="1" applyBorder="1" applyAlignment="1">
      <alignment horizontal="center"/>
    </xf>
    <xf numFmtId="0" fontId="2" fillId="0" borderId="0" xfId="0" applyFont="1"/>
    <xf numFmtId="0" fontId="3" fillId="0" borderId="0" xfId="2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3" fillId="0" borderId="0" xfId="2" applyNumberFormat="1" applyFont="1" applyAlignment="1">
      <alignment horizontal="center" vertical="center" wrapText="1"/>
    </xf>
    <xf numFmtId="0" fontId="4" fillId="0" borderId="0" xfId="2" applyFont="1" applyAlignment="1">
      <alignment horizontal="center"/>
    </xf>
    <xf numFmtId="164" fontId="6" fillId="0" borderId="0" xfId="3" applyNumberFormat="1" applyFont="1" applyAlignment="1">
      <alignment vertical="center"/>
    </xf>
    <xf numFmtId="0" fontId="7" fillId="0" borderId="0" xfId="2" applyFont="1" applyAlignment="1">
      <alignment horizontal="center" vertical="center" wrapText="1"/>
    </xf>
    <xf numFmtId="164" fontId="3" fillId="0" borderId="0" xfId="3" applyNumberFormat="1" applyFont="1" applyAlignment="1">
      <alignment vertical="center"/>
    </xf>
    <xf numFmtId="0" fontId="3" fillId="0" borderId="1" xfId="2" applyFont="1" applyBorder="1" applyAlignment="1">
      <alignment vertical="center"/>
    </xf>
    <xf numFmtId="2" fontId="4" fillId="0" borderId="2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2" fontId="4" fillId="0" borderId="5" xfId="2" applyNumberFormat="1" applyFont="1" applyBorder="1" applyAlignment="1">
      <alignment horizontal="center" vertical="center"/>
    </xf>
    <xf numFmtId="0" fontId="4" fillId="0" borderId="5" xfId="2" applyFont="1" applyBorder="1" applyAlignment="1">
      <alignment vertical="center"/>
    </xf>
    <xf numFmtId="0" fontId="3" fillId="0" borderId="0" xfId="2" applyFont="1" applyAlignment="1">
      <alignment vertical="center"/>
    </xf>
    <xf numFmtId="2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4" fillId="0" borderId="0" xfId="2" applyFont="1"/>
    <xf numFmtId="2" fontId="2" fillId="0" borderId="0" xfId="2" applyNumberFormat="1" applyFont="1" applyAlignment="1">
      <alignment horizontal="center"/>
    </xf>
    <xf numFmtId="0" fontId="2" fillId="0" borderId="0" xfId="2" applyFont="1"/>
    <xf numFmtId="0" fontId="2" fillId="0" borderId="5" xfId="2" applyFont="1" applyBorder="1"/>
    <xf numFmtId="0" fontId="3" fillId="0" borderId="11" xfId="2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3" fontId="8" fillId="0" borderId="13" xfId="3" applyNumberFormat="1" applyFont="1" applyBorder="1" applyAlignment="1">
      <alignment vertical="center"/>
    </xf>
    <xf numFmtId="0" fontId="4" fillId="2" borderId="14" xfId="0" applyFont="1" applyFill="1" applyBorder="1" applyAlignment="1">
      <alignment horizontal="center"/>
    </xf>
    <xf numFmtId="2" fontId="3" fillId="2" borderId="20" xfId="0" applyNumberFormat="1" applyFont="1" applyFill="1" applyBorder="1" applyAlignment="1">
      <alignment horizontal="center" vertical="center"/>
    </xf>
    <xf numFmtId="2" fontId="3" fillId="2" borderId="15" xfId="2" applyNumberFormat="1" applyFont="1" applyFill="1" applyBorder="1" applyAlignment="1">
      <alignment horizontal="center" vertical="center" wrapText="1"/>
    </xf>
    <xf numFmtId="0" fontId="3" fillId="2" borderId="15" xfId="2" applyFont="1" applyFill="1" applyBorder="1" applyAlignment="1">
      <alignment horizontal="center" vertical="center" wrapText="1"/>
    </xf>
    <xf numFmtId="164" fontId="3" fillId="2" borderId="15" xfId="3" applyNumberFormat="1" applyFont="1" applyFill="1" applyBorder="1" applyAlignment="1">
      <alignment vertical="center"/>
    </xf>
    <xf numFmtId="0" fontId="2" fillId="2" borderId="0" xfId="2" applyFont="1" applyFill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7" fillId="2" borderId="0" xfId="2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15" xfId="2" applyNumberFormat="1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164" fontId="3" fillId="0" borderId="15" xfId="3" applyNumberFormat="1" applyFont="1" applyBorder="1" applyAlignment="1">
      <alignment vertical="center"/>
    </xf>
    <xf numFmtId="0" fontId="2" fillId="0" borderId="0" xfId="2" applyFont="1" applyAlignment="1">
      <alignment horizontal="center"/>
    </xf>
    <xf numFmtId="2" fontId="3" fillId="2" borderId="1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2" xfId="2" applyNumberFormat="1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164" fontId="3" fillId="0" borderId="13" xfId="3" applyNumberFormat="1" applyFont="1" applyBorder="1" applyAlignment="1">
      <alignment vertical="center"/>
    </xf>
    <xf numFmtId="164" fontId="3" fillId="0" borderId="12" xfId="3" applyNumberFormat="1" applyFont="1" applyBorder="1" applyAlignment="1">
      <alignment vertical="center"/>
    </xf>
    <xf numFmtId="164" fontId="3" fillId="0" borderId="18" xfId="3" applyNumberFormat="1" applyFont="1" applyBorder="1" applyAlignment="1">
      <alignment vertical="center"/>
    </xf>
    <xf numFmtId="0" fontId="4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2" fontId="3" fillId="0" borderId="2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3" fillId="0" borderId="17" xfId="0" applyNumberFormat="1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  <xf numFmtId="0" fontId="8" fillId="0" borderId="0" xfId="0" applyFont="1"/>
    <xf numFmtId="0" fontId="8" fillId="0" borderId="11" xfId="2" applyFont="1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10" fontId="8" fillId="0" borderId="0" xfId="4" applyNumberFormat="1" applyFont="1" applyAlignment="1">
      <alignment vertical="center"/>
    </xf>
    <xf numFmtId="10" fontId="8" fillId="0" borderId="19" xfId="4" applyNumberFormat="1" applyFont="1" applyBorder="1" applyAlignment="1">
      <alignment vertical="center"/>
    </xf>
    <xf numFmtId="0" fontId="9" fillId="0" borderId="21" xfId="0" applyFont="1" applyBorder="1"/>
    <xf numFmtId="43" fontId="9" fillId="0" borderId="0" xfId="1" applyFont="1"/>
    <xf numFmtId="0" fontId="9" fillId="0" borderId="0" xfId="0" applyFont="1"/>
    <xf numFmtId="0" fontId="4" fillId="0" borderId="10" xfId="2" applyFont="1" applyBorder="1" applyAlignment="1">
      <alignment horizontal="center" vertical="center" wrapText="1"/>
    </xf>
    <xf numFmtId="0" fontId="11" fillId="0" borderId="0" xfId="0" applyFont="1"/>
    <xf numFmtId="43" fontId="11" fillId="0" borderId="0" xfId="1" applyFont="1"/>
    <xf numFmtId="0" fontId="3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2" fontId="3" fillId="0" borderId="10" xfId="2" applyNumberFormat="1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2" fontId="14" fillId="0" borderId="0" xfId="0" applyNumberFormat="1" applyFont="1"/>
    <xf numFmtId="165" fontId="14" fillId="0" borderId="0" xfId="0" applyNumberFormat="1" applyFont="1"/>
    <xf numFmtId="0" fontId="14" fillId="0" borderId="0" xfId="0" applyFont="1"/>
    <xf numFmtId="0" fontId="12" fillId="0" borderId="0" xfId="0" applyFont="1"/>
    <xf numFmtId="0" fontId="6" fillId="0" borderId="14" xfId="0" applyFont="1" applyBorder="1" applyAlignment="1">
      <alignment horizontal="center"/>
    </xf>
  </cellXfs>
  <cellStyles count="5">
    <cellStyle name="Excel Built-in Normal" xfId="3" xr:uid="{62595B3F-3E7F-4CA6-8F99-84F21A940502}"/>
    <cellStyle name="Normal" xfId="0" builtinId="0"/>
    <cellStyle name="Normal 2" xfId="2" xr:uid="{F1953972-CDD7-4875-9C91-95183EBB6D80}"/>
    <cellStyle name="Porcentagem 2" xfId="4" xr:uid="{10B0DA8E-4CC0-4505-97F1-1728238F1373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147</xdr:row>
      <xdr:rowOff>47737</xdr:rowOff>
    </xdr:from>
    <xdr:to>
      <xdr:col>11</xdr:col>
      <xdr:colOff>78105</xdr:colOff>
      <xdr:row>180</xdr:row>
      <xdr:rowOff>74407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3FC488E-B830-4DD1-A7CB-7345F2E5659B}"/>
            </a:ext>
          </a:extLst>
        </xdr:cNvPr>
        <xdr:cNvSpPr/>
      </xdr:nvSpPr>
      <xdr:spPr>
        <a:xfrm>
          <a:off x="739140" y="22812487"/>
          <a:ext cx="8521065" cy="56845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NOTAS: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A - REAJUSTE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As parcelas com vencimento até a data de emissão do Certificado de Conclusão de Obras ("Habite-se"), inclusive, </a:t>
          </a:r>
          <a:r>
            <a:rPr lang="pt-BR" sz="1100" b="1">
              <a:solidFill>
                <a:sysClr val="windowText" lastClr="000000"/>
              </a:solidFill>
            </a:rPr>
            <a:t>serão reajustadas</a:t>
          </a:r>
          <a:r>
            <a:rPr lang="pt-BR" sz="1100">
              <a:solidFill>
                <a:sysClr val="windowText" lastClr="000000"/>
              </a:solidFill>
            </a:rPr>
            <a:t> a partir da data da aquisição de acordo com a variação do </a:t>
          </a:r>
          <a:r>
            <a:rPr lang="pt-BR" sz="1100" b="1">
              <a:solidFill>
                <a:sysClr val="windowText" lastClr="000000"/>
              </a:solidFill>
            </a:rPr>
            <a:t>INCC-DI/FGV </a:t>
          </a:r>
          <a:r>
            <a:rPr lang="pt-BR" sz="1100">
              <a:solidFill>
                <a:sysClr val="windowText" lastClr="000000"/>
              </a:solidFill>
            </a:rPr>
            <a:t>e as parcelas com vencimento a partir do mês seguinte à emissão do "Habite-se" serão reajustadas de acordo com a variação do IGP-M (FGV).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B - PARCELAS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Todas as parcelas com vencimento a partir do mês seguinte à emissão do Certificado de Conclusão da Obra ("Habite-se") serão acrescidas de juros de 1% am (um por cento ao mês) mais IGPM. Para fins de estimativa do valor das parcelas já acrescidos de juros, a Incorporadora adotou como estimativa a data de habite-se concomitante a data mencionada na letra F abaixo.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C - FINANCIAMENTO BANCÁRIO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A contratação do financiamento bancário, a assinatura e o registro do respectivo ato de financiamento são de exclusiva responsabilidade do cliente. Com a contratação de financiamento bancário para pagamento do saldo do preço, os pagamentos destas parcelas serão efetuados à Instituição Bancária pelas condições e critérios do agente financiador a partir do 1° dia do mês subseqüente à contratação, de acordo com as regras do respectivo contrato. Uma vez não contratado, o respectivo valor deverá ser pago integralmente e com recursos próprios do adquirente à INCORPORADORA.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D - DESPESAS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As despesas cartorárias, de impostos de transmissão de bens e de registro serão de exclusiva responsabilidade do adquirente. As despesas de seguro de morte e invalidez permanente (MIP) e danos físicos ao imóvel (DFI) deverão ser contratadas pelo adquirente e deverão ser observados os requisitos desta contratação.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E - VALIDADE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Os preços praticados nesta data poderão ser alterados a qualquer tempo pela vendedora sem prévio aviso.</a:t>
          </a:r>
        </a:p>
        <a:p>
          <a:pPr algn="l">
            <a:lnSpc>
              <a:spcPct val="150000"/>
            </a:lnSpc>
          </a:pPr>
          <a:r>
            <a:rPr lang="pt-BR" sz="1100" b="1">
              <a:solidFill>
                <a:sysClr val="windowText" lastClr="000000"/>
              </a:solidFill>
            </a:rPr>
            <a:t>F - CONCLUSÃO DAS OBRAS</a:t>
          </a:r>
        </a:p>
        <a:p>
          <a:pPr algn="l">
            <a:lnSpc>
              <a:spcPct val="150000"/>
            </a:lnSpc>
          </a:pPr>
          <a:r>
            <a:rPr lang="pt-BR" sz="1100">
              <a:solidFill>
                <a:sysClr val="windowText" lastClr="000000"/>
              </a:solidFill>
            </a:rPr>
            <a:t>Prevista para </a:t>
          </a:r>
          <a:r>
            <a:rPr lang="pt-BR" sz="1100" b="1">
              <a:solidFill>
                <a:sysClr val="windowText" lastClr="000000"/>
              </a:solidFill>
            </a:rPr>
            <a:t>30 / OUTUBRO / 2029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07A7-AD20-48E9-AC7C-186DE525CE15}">
  <sheetPr>
    <tabColor rgb="FFC00000"/>
    <pageSetUpPr fitToPage="1"/>
  </sheetPr>
  <dimension ref="A2:Q148"/>
  <sheetViews>
    <sheetView showGridLines="0" tabSelected="1" topLeftCell="A160" zoomScaleNormal="100" workbookViewId="0">
      <selection activeCell="F183" sqref="F183"/>
    </sheetView>
  </sheetViews>
  <sheetFormatPr defaultRowHeight="14.4" x14ac:dyDescent="0.3"/>
  <cols>
    <col min="2" max="2" width="7.6640625" customWidth="1"/>
    <col min="3" max="3" width="9.109375" bestFit="1" customWidth="1"/>
    <col min="4" max="4" width="9.109375" customWidth="1"/>
    <col min="5" max="5" width="9.109375" bestFit="1" customWidth="1"/>
    <col min="6" max="6" width="17.44140625" customWidth="1"/>
    <col min="7" max="7" width="1.33203125" customWidth="1"/>
    <col min="8" max="8" width="16.44140625" customWidth="1"/>
    <col min="9" max="9" width="17.88671875" customWidth="1"/>
    <col min="10" max="10" width="22.88671875" customWidth="1"/>
    <col min="11" max="11" width="17.5546875" customWidth="1"/>
    <col min="12" max="12" width="9.109375" bestFit="1" customWidth="1"/>
    <col min="13" max="13" width="13.33203125" style="1" customWidth="1"/>
    <col min="14" max="14" width="9.109375" bestFit="1" customWidth="1"/>
    <col min="15" max="15" width="20.88671875" customWidth="1"/>
    <col min="16" max="16" width="14.5546875" customWidth="1"/>
    <col min="17" max="17" width="15.33203125" customWidth="1"/>
  </cols>
  <sheetData>
    <row r="2" spans="1:17" ht="15" thickBot="1" x14ac:dyDescent="0.35">
      <c r="A2" s="4"/>
      <c r="B2" s="5"/>
      <c r="C2" s="6"/>
      <c r="D2" s="7"/>
      <c r="E2" s="8"/>
      <c r="F2" s="9"/>
      <c r="G2" s="10"/>
      <c r="H2" s="11"/>
      <c r="I2" s="11"/>
      <c r="J2" s="11"/>
      <c r="K2" s="11"/>
    </row>
    <row r="3" spans="1:17" ht="15" thickTop="1" x14ac:dyDescent="0.3">
      <c r="A3" s="4"/>
      <c r="B3" s="12" t="s">
        <v>0</v>
      </c>
      <c r="C3" s="13"/>
      <c r="D3" s="14"/>
      <c r="E3" s="14"/>
      <c r="F3" s="14"/>
      <c r="G3" s="14"/>
      <c r="H3" s="14"/>
      <c r="I3" s="14"/>
      <c r="J3" s="76" t="s">
        <v>15</v>
      </c>
      <c r="K3" s="77"/>
    </row>
    <row r="4" spans="1:17" ht="15" thickBot="1" x14ac:dyDescent="0.35">
      <c r="A4" s="4"/>
      <c r="B4" s="15" t="s">
        <v>1</v>
      </c>
      <c r="C4" s="16"/>
      <c r="D4" s="17"/>
      <c r="E4" s="17"/>
      <c r="F4" s="17"/>
      <c r="G4" s="17"/>
      <c r="H4" s="17"/>
      <c r="I4" s="17"/>
      <c r="J4" s="78"/>
      <c r="K4" s="79"/>
    </row>
    <row r="5" spans="1:17" ht="3.6" customHeight="1" thickTop="1" thickBot="1" x14ac:dyDescent="0.35">
      <c r="A5" s="4"/>
      <c r="B5" s="18"/>
      <c r="C5" s="19"/>
      <c r="D5" s="20"/>
      <c r="E5" s="20"/>
      <c r="F5" s="20"/>
      <c r="G5" s="20"/>
      <c r="H5" s="20"/>
      <c r="I5" s="20"/>
      <c r="J5" s="20"/>
      <c r="K5" s="21"/>
    </row>
    <row r="6" spans="1:17" ht="15.6" thickTop="1" thickBot="1" x14ac:dyDescent="0.35">
      <c r="A6" s="4"/>
      <c r="B6" s="80" t="s">
        <v>2</v>
      </c>
      <c r="C6" s="81"/>
      <c r="D6" s="81"/>
      <c r="E6" s="81"/>
      <c r="F6" s="81"/>
      <c r="G6" s="81"/>
      <c r="H6" s="81"/>
      <c r="I6" s="81"/>
      <c r="J6" s="81"/>
      <c r="K6" s="82"/>
    </row>
    <row r="7" spans="1:17" ht="3.6" customHeight="1" thickTop="1" thickBot="1" x14ac:dyDescent="0.35">
      <c r="A7" s="4"/>
      <c r="B7" s="22"/>
      <c r="C7" s="23"/>
      <c r="D7" s="24"/>
      <c r="E7" s="22"/>
      <c r="F7" s="24"/>
      <c r="G7" s="24"/>
      <c r="H7" s="24"/>
      <c r="I7" s="25"/>
      <c r="J7" s="25"/>
      <c r="K7" s="25"/>
    </row>
    <row r="8" spans="1:17" ht="15.6" thickTop="1" thickBot="1" x14ac:dyDescent="0.35">
      <c r="A8" s="4"/>
      <c r="B8" s="73" t="s">
        <v>3</v>
      </c>
      <c r="C8" s="83" t="s">
        <v>4</v>
      </c>
      <c r="D8" s="73" t="s">
        <v>16</v>
      </c>
      <c r="E8" s="73" t="s">
        <v>6</v>
      </c>
      <c r="F8" s="73" t="s">
        <v>7</v>
      </c>
      <c r="G8" s="5"/>
      <c r="H8" s="73" t="s">
        <v>8</v>
      </c>
      <c r="I8" s="74" t="s">
        <v>9</v>
      </c>
      <c r="J8" s="74"/>
      <c r="K8" s="74"/>
    </row>
    <row r="9" spans="1:17" ht="36.6" customHeight="1" x14ac:dyDescent="0.3">
      <c r="A9" s="4"/>
      <c r="B9" s="73"/>
      <c r="C9" s="83"/>
      <c r="D9" s="73"/>
      <c r="E9" s="73"/>
      <c r="F9" s="73"/>
      <c r="G9" s="5"/>
      <c r="H9" s="73"/>
      <c r="I9" s="70" t="s">
        <v>10</v>
      </c>
      <c r="J9" s="70" t="s">
        <v>11</v>
      </c>
      <c r="K9" s="70" t="s">
        <v>12</v>
      </c>
    </row>
    <row r="10" spans="1:17" s="69" customFormat="1" ht="12" customHeight="1" thickTop="1" x14ac:dyDescent="0.3">
      <c r="A10" s="62"/>
      <c r="B10" s="63"/>
      <c r="C10" s="27"/>
      <c r="D10" s="28"/>
      <c r="E10" s="29">
        <v>4</v>
      </c>
      <c r="F10" s="30">
        <v>36</v>
      </c>
      <c r="G10" s="64"/>
      <c r="H10" s="65">
        <v>0.15</v>
      </c>
      <c r="I10" s="65">
        <v>0.2</v>
      </c>
      <c r="J10" s="65">
        <v>0.15</v>
      </c>
      <c r="K10" s="66">
        <v>0.5</v>
      </c>
      <c r="L10" s="67"/>
      <c r="M10" s="68"/>
    </row>
    <row r="11" spans="1:17" ht="12.6" customHeight="1" x14ac:dyDescent="0.3">
      <c r="A11" s="4"/>
      <c r="B11" s="31">
        <v>1401</v>
      </c>
      <c r="C11" s="32">
        <v>148.78</v>
      </c>
      <c r="D11" s="33">
        <v>299.52999999999997</v>
      </c>
      <c r="E11" s="34">
        <v>2</v>
      </c>
      <c r="F11" s="35">
        <v>1710970</v>
      </c>
      <c r="G11" s="36"/>
      <c r="H11" s="35">
        <f>F11*H$10</f>
        <v>256645.5</v>
      </c>
      <c r="I11" s="35">
        <f>(F11*I$10)/$F$10</f>
        <v>9505.3888888888887</v>
      </c>
      <c r="J11" s="35">
        <f>(F11*J$10)/$E$10</f>
        <v>64161.375</v>
      </c>
      <c r="K11" s="35">
        <f t="shared" ref="K11:K37" si="0">F11*K$10</f>
        <v>855485</v>
      </c>
      <c r="P11" s="1"/>
      <c r="Q11" s="2"/>
    </row>
    <row r="12" spans="1:17" ht="12.6" customHeight="1" x14ac:dyDescent="0.3">
      <c r="A12" s="4"/>
      <c r="B12" s="37">
        <v>1402</v>
      </c>
      <c r="C12" s="32">
        <v>46.59</v>
      </c>
      <c r="D12" s="33">
        <v>108.9</v>
      </c>
      <c r="E12" s="34">
        <v>1</v>
      </c>
      <c r="F12" s="35">
        <v>745440</v>
      </c>
      <c r="G12" s="36"/>
      <c r="H12" s="35">
        <f t="shared" ref="H12:H37" si="1">F12*H$10</f>
        <v>111816</v>
      </c>
      <c r="I12" s="35">
        <f t="shared" ref="I12:I37" si="2">(F12*I$10)/$F$10</f>
        <v>4141.333333333333</v>
      </c>
      <c r="J12" s="35">
        <f t="shared" ref="J12:J37" si="3">(F12*J$10)/$E$10</f>
        <v>27954</v>
      </c>
      <c r="K12" s="35">
        <f t="shared" si="0"/>
        <v>372720</v>
      </c>
      <c r="P12" s="1"/>
      <c r="Q12" s="2"/>
    </row>
    <row r="13" spans="1:17" ht="12.6" customHeight="1" x14ac:dyDescent="0.3">
      <c r="A13" s="4"/>
      <c r="B13" s="37">
        <v>1403</v>
      </c>
      <c r="C13" s="32">
        <v>46.59</v>
      </c>
      <c r="D13" s="33">
        <v>108.9</v>
      </c>
      <c r="E13" s="34">
        <v>1</v>
      </c>
      <c r="F13" s="35">
        <v>745440</v>
      </c>
      <c r="G13" s="38"/>
      <c r="H13" s="35">
        <f t="shared" si="1"/>
        <v>111816</v>
      </c>
      <c r="I13" s="35">
        <f t="shared" si="2"/>
        <v>4141.333333333333</v>
      </c>
      <c r="J13" s="35">
        <f t="shared" si="3"/>
        <v>27954</v>
      </c>
      <c r="K13" s="35">
        <f t="shared" si="0"/>
        <v>372720</v>
      </c>
      <c r="P13" s="2"/>
      <c r="Q13" s="2"/>
    </row>
    <row r="14" spans="1:17" ht="12.6" customHeight="1" x14ac:dyDescent="0.3">
      <c r="A14" s="4"/>
      <c r="B14" s="37">
        <v>1404</v>
      </c>
      <c r="C14" s="32">
        <f>87.39+37.8</f>
        <v>125.19</v>
      </c>
      <c r="D14" s="33">
        <v>264.79000000000002</v>
      </c>
      <c r="E14" s="34">
        <v>2</v>
      </c>
      <c r="F14" s="35">
        <v>1439685</v>
      </c>
      <c r="G14" s="38"/>
      <c r="H14" s="35">
        <f t="shared" si="1"/>
        <v>215952.75</v>
      </c>
      <c r="I14" s="35">
        <f t="shared" si="2"/>
        <v>7998.25</v>
      </c>
      <c r="J14" s="35">
        <f t="shared" si="3"/>
        <v>53988.1875</v>
      </c>
      <c r="K14" s="35">
        <f t="shared" si="0"/>
        <v>719842.5</v>
      </c>
      <c r="P14" s="2"/>
    </row>
    <row r="15" spans="1:17" ht="12.6" customHeight="1" x14ac:dyDescent="0.3">
      <c r="A15" s="4"/>
      <c r="B15" s="37">
        <v>1405</v>
      </c>
      <c r="C15" s="32">
        <f>86.57+61.38</f>
        <v>147.94999999999999</v>
      </c>
      <c r="D15" s="33">
        <v>298.25</v>
      </c>
      <c r="E15" s="34">
        <v>2</v>
      </c>
      <c r="F15" s="35">
        <v>1701424.9999999998</v>
      </c>
      <c r="G15" s="38"/>
      <c r="H15" s="35">
        <f t="shared" si="1"/>
        <v>255213.74999999994</v>
      </c>
      <c r="I15" s="35">
        <f t="shared" si="2"/>
        <v>9452.3611111111113</v>
      </c>
      <c r="J15" s="35">
        <f t="shared" si="3"/>
        <v>63803.437499999985</v>
      </c>
      <c r="K15" s="35">
        <f t="shared" si="0"/>
        <v>850712.49999999988</v>
      </c>
    </row>
    <row r="16" spans="1:17" ht="12.6" customHeight="1" x14ac:dyDescent="0.3">
      <c r="A16" s="4"/>
      <c r="B16" s="37">
        <v>1406</v>
      </c>
      <c r="C16" s="32">
        <v>45.79</v>
      </c>
      <c r="D16" s="33">
        <v>107.49</v>
      </c>
      <c r="E16" s="34">
        <v>1</v>
      </c>
      <c r="F16" s="35">
        <v>739966.4</v>
      </c>
      <c r="G16" s="38"/>
      <c r="H16" s="35">
        <f t="shared" si="1"/>
        <v>110994.96</v>
      </c>
      <c r="I16" s="35">
        <f t="shared" si="2"/>
        <v>4110.9244444444448</v>
      </c>
      <c r="J16" s="35">
        <f t="shared" si="3"/>
        <v>27748.74</v>
      </c>
      <c r="K16" s="35">
        <f t="shared" si="0"/>
        <v>369983.2</v>
      </c>
    </row>
    <row r="17" spans="1:11" ht="12.6" customHeight="1" x14ac:dyDescent="0.3">
      <c r="A17" s="4"/>
      <c r="B17" s="37">
        <v>1407</v>
      </c>
      <c r="C17" s="32">
        <v>45.79</v>
      </c>
      <c r="D17" s="33">
        <v>107.49</v>
      </c>
      <c r="E17" s="34">
        <v>1</v>
      </c>
      <c r="F17" s="35">
        <v>739966.4</v>
      </c>
      <c r="G17" s="38"/>
      <c r="H17" s="35">
        <f t="shared" si="1"/>
        <v>110994.96</v>
      </c>
      <c r="I17" s="35">
        <f t="shared" si="2"/>
        <v>4110.9244444444448</v>
      </c>
      <c r="J17" s="35">
        <f t="shared" si="3"/>
        <v>27748.74</v>
      </c>
      <c r="K17" s="35">
        <f t="shared" si="0"/>
        <v>369983.2</v>
      </c>
    </row>
    <row r="18" spans="1:11" ht="12.6" customHeight="1" x14ac:dyDescent="0.3">
      <c r="A18" s="4"/>
      <c r="B18" s="37">
        <v>1408</v>
      </c>
      <c r="C18" s="32">
        <v>46.59</v>
      </c>
      <c r="D18" s="33">
        <v>108.9</v>
      </c>
      <c r="E18" s="34">
        <v>1</v>
      </c>
      <c r="F18" s="35">
        <v>752894.4</v>
      </c>
      <c r="G18" s="38"/>
      <c r="H18" s="35">
        <f t="shared" si="1"/>
        <v>112934.16</v>
      </c>
      <c r="I18" s="35">
        <f t="shared" si="2"/>
        <v>4182.7466666666669</v>
      </c>
      <c r="J18" s="35">
        <f t="shared" si="3"/>
        <v>28233.54</v>
      </c>
      <c r="K18" s="35">
        <f t="shared" si="0"/>
        <v>376447.2</v>
      </c>
    </row>
    <row r="19" spans="1:11" ht="12.6" customHeight="1" x14ac:dyDescent="0.3">
      <c r="A19" s="4"/>
      <c r="B19" s="39">
        <v>1409</v>
      </c>
      <c r="C19" s="32">
        <f>87.39+61.39</f>
        <v>148.78</v>
      </c>
      <c r="D19" s="33">
        <v>299.52999999999997</v>
      </c>
      <c r="E19" s="34">
        <v>2</v>
      </c>
      <c r="F19" s="35">
        <v>1710970</v>
      </c>
      <c r="G19" s="38"/>
      <c r="H19" s="35">
        <f t="shared" si="1"/>
        <v>256645.5</v>
      </c>
      <c r="I19" s="35">
        <f t="shared" si="2"/>
        <v>9505.3888888888887</v>
      </c>
      <c r="J19" s="35">
        <f t="shared" si="3"/>
        <v>64161.375</v>
      </c>
      <c r="K19" s="35">
        <f t="shared" si="0"/>
        <v>855485</v>
      </c>
    </row>
    <row r="20" spans="1:11" ht="12.6" customHeight="1" x14ac:dyDescent="0.3">
      <c r="A20" s="4"/>
      <c r="B20" s="40">
        <v>1501</v>
      </c>
      <c r="C20" s="41">
        <v>87.39</v>
      </c>
      <c r="D20" s="42">
        <v>209.26</v>
      </c>
      <c r="E20" s="43">
        <v>2</v>
      </c>
      <c r="F20" s="44">
        <v>1179765</v>
      </c>
      <c r="G20" s="10"/>
      <c r="H20" s="44">
        <f t="shared" si="1"/>
        <v>176964.75</v>
      </c>
      <c r="I20" s="44">
        <f t="shared" si="2"/>
        <v>6554.25</v>
      </c>
      <c r="J20" s="44">
        <f t="shared" si="3"/>
        <v>44241.1875</v>
      </c>
      <c r="K20" s="44">
        <f t="shared" si="0"/>
        <v>589882.5</v>
      </c>
    </row>
    <row r="21" spans="1:11" ht="12.6" customHeight="1" x14ac:dyDescent="0.3">
      <c r="A21" s="4"/>
      <c r="B21" s="40">
        <v>1502</v>
      </c>
      <c r="C21" s="41">
        <v>46.59</v>
      </c>
      <c r="D21" s="42">
        <v>108.9</v>
      </c>
      <c r="E21" s="43">
        <v>1</v>
      </c>
      <c r="F21" s="44">
        <v>745440</v>
      </c>
      <c r="G21" s="45"/>
      <c r="H21" s="44">
        <f t="shared" si="1"/>
        <v>111816</v>
      </c>
      <c r="I21" s="44">
        <f t="shared" si="2"/>
        <v>4141.333333333333</v>
      </c>
      <c r="J21" s="44">
        <f t="shared" si="3"/>
        <v>27954</v>
      </c>
      <c r="K21" s="44">
        <f t="shared" si="0"/>
        <v>372720</v>
      </c>
    </row>
    <row r="22" spans="1:11" ht="12.6" customHeight="1" x14ac:dyDescent="0.3">
      <c r="A22" s="4"/>
      <c r="B22" s="40">
        <v>1503</v>
      </c>
      <c r="C22" s="41">
        <v>46.59</v>
      </c>
      <c r="D22" s="42">
        <v>108.9</v>
      </c>
      <c r="E22" s="43">
        <v>1</v>
      </c>
      <c r="F22" s="44">
        <v>745440</v>
      </c>
      <c r="G22" s="45"/>
      <c r="H22" s="44">
        <f t="shared" si="1"/>
        <v>111816</v>
      </c>
      <c r="I22" s="44">
        <f t="shared" si="2"/>
        <v>4141.333333333333</v>
      </c>
      <c r="J22" s="44">
        <f t="shared" si="3"/>
        <v>27954</v>
      </c>
      <c r="K22" s="44">
        <f t="shared" si="0"/>
        <v>372720</v>
      </c>
    </row>
    <row r="23" spans="1:11" ht="12.6" customHeight="1" x14ac:dyDescent="0.3">
      <c r="A23" s="4"/>
      <c r="B23" s="40">
        <v>1504</v>
      </c>
      <c r="C23" s="41">
        <v>87.39</v>
      </c>
      <c r="D23" s="42">
        <v>209.26</v>
      </c>
      <c r="E23" s="43">
        <v>2</v>
      </c>
      <c r="F23" s="44">
        <v>1179765</v>
      </c>
      <c r="G23" s="45"/>
      <c r="H23" s="44">
        <f t="shared" si="1"/>
        <v>176964.75</v>
      </c>
      <c r="I23" s="44">
        <f t="shared" si="2"/>
        <v>6554.25</v>
      </c>
      <c r="J23" s="44">
        <f t="shared" si="3"/>
        <v>44241.1875</v>
      </c>
      <c r="K23" s="44">
        <f t="shared" si="0"/>
        <v>589882.5</v>
      </c>
    </row>
    <row r="24" spans="1:11" ht="12.6" customHeight="1" x14ac:dyDescent="0.3">
      <c r="A24" s="4"/>
      <c r="B24" s="40">
        <v>1505</v>
      </c>
      <c r="C24" s="41">
        <v>86.57</v>
      </c>
      <c r="D24" s="42">
        <v>207.83</v>
      </c>
      <c r="E24" s="43">
        <v>2</v>
      </c>
      <c r="F24" s="44">
        <v>1180381.95</v>
      </c>
      <c r="G24" s="45"/>
      <c r="H24" s="44">
        <f t="shared" si="1"/>
        <v>177057.29249999998</v>
      </c>
      <c r="I24" s="44">
        <f t="shared" si="2"/>
        <v>6557.6775000000007</v>
      </c>
      <c r="J24" s="44">
        <f t="shared" si="3"/>
        <v>44264.323124999995</v>
      </c>
      <c r="K24" s="44">
        <f t="shared" si="0"/>
        <v>590190.97499999998</v>
      </c>
    </row>
    <row r="25" spans="1:11" ht="12.6" customHeight="1" x14ac:dyDescent="0.3">
      <c r="A25" s="4"/>
      <c r="B25" s="40">
        <v>1506</v>
      </c>
      <c r="C25" s="41">
        <v>45.79</v>
      </c>
      <c r="D25" s="42">
        <v>107.49</v>
      </c>
      <c r="E25" s="43">
        <v>1</v>
      </c>
      <c r="F25" s="44">
        <v>739966.4</v>
      </c>
      <c r="G25" s="10"/>
      <c r="H25" s="44">
        <f t="shared" si="1"/>
        <v>110994.96</v>
      </c>
      <c r="I25" s="44">
        <f t="shared" si="2"/>
        <v>4110.9244444444448</v>
      </c>
      <c r="J25" s="44">
        <f t="shared" si="3"/>
        <v>27748.74</v>
      </c>
      <c r="K25" s="44">
        <f t="shared" si="0"/>
        <v>369983.2</v>
      </c>
    </row>
    <row r="26" spans="1:11" ht="12.6" customHeight="1" x14ac:dyDescent="0.3">
      <c r="A26" s="4"/>
      <c r="B26" s="40">
        <v>1507</v>
      </c>
      <c r="C26" s="41">
        <v>45.79</v>
      </c>
      <c r="D26" s="42">
        <v>107.49</v>
      </c>
      <c r="E26" s="43">
        <v>1</v>
      </c>
      <c r="F26" s="44">
        <v>739966.4</v>
      </c>
      <c r="G26" s="10"/>
      <c r="H26" s="44">
        <f t="shared" si="1"/>
        <v>110994.96</v>
      </c>
      <c r="I26" s="44">
        <f t="shared" si="2"/>
        <v>4110.9244444444448</v>
      </c>
      <c r="J26" s="44">
        <f t="shared" si="3"/>
        <v>27748.74</v>
      </c>
      <c r="K26" s="44">
        <f t="shared" si="0"/>
        <v>369983.2</v>
      </c>
    </row>
    <row r="27" spans="1:11" ht="12.6" customHeight="1" x14ac:dyDescent="0.3">
      <c r="A27" s="4"/>
      <c r="B27" s="40">
        <v>1508</v>
      </c>
      <c r="C27" s="41">
        <v>46.59</v>
      </c>
      <c r="D27" s="42">
        <v>108.9</v>
      </c>
      <c r="E27" s="43">
        <v>1</v>
      </c>
      <c r="F27" s="44">
        <v>752894.4</v>
      </c>
      <c r="G27" s="10"/>
      <c r="H27" s="44">
        <f t="shared" si="1"/>
        <v>112934.16</v>
      </c>
      <c r="I27" s="44">
        <f t="shared" si="2"/>
        <v>4182.7466666666669</v>
      </c>
      <c r="J27" s="44">
        <f t="shared" si="3"/>
        <v>28233.54</v>
      </c>
      <c r="K27" s="44">
        <f t="shared" si="0"/>
        <v>376447.2</v>
      </c>
    </row>
    <row r="28" spans="1:11" ht="12.6" customHeight="1" x14ac:dyDescent="0.3">
      <c r="A28" s="4"/>
      <c r="B28" s="40">
        <v>1509</v>
      </c>
      <c r="C28" s="41">
        <v>87.39</v>
      </c>
      <c r="D28" s="42">
        <v>209.26</v>
      </c>
      <c r="E28" s="43">
        <v>2</v>
      </c>
      <c r="F28" s="44">
        <v>1191562.6499999999</v>
      </c>
      <c r="G28" s="10"/>
      <c r="H28" s="44">
        <f t="shared" si="1"/>
        <v>178734.39749999999</v>
      </c>
      <c r="I28" s="44">
        <f t="shared" si="2"/>
        <v>6619.7924999999996</v>
      </c>
      <c r="J28" s="44">
        <f t="shared" si="3"/>
        <v>44683.599374999998</v>
      </c>
      <c r="K28" s="44">
        <f t="shared" si="0"/>
        <v>595781.32499999995</v>
      </c>
    </row>
    <row r="29" spans="1:11" ht="12.6" customHeight="1" x14ac:dyDescent="0.3">
      <c r="A29" s="4"/>
      <c r="B29" s="31">
        <v>1601</v>
      </c>
      <c r="C29" s="46">
        <v>87.39</v>
      </c>
      <c r="D29" s="33">
        <v>209.26</v>
      </c>
      <c r="E29" s="34">
        <v>2</v>
      </c>
      <c r="F29" s="35">
        <v>1179765</v>
      </c>
      <c r="G29" s="38"/>
      <c r="H29" s="35">
        <f t="shared" si="1"/>
        <v>176964.75</v>
      </c>
      <c r="I29" s="35">
        <f t="shared" si="2"/>
        <v>6554.25</v>
      </c>
      <c r="J29" s="35">
        <f t="shared" si="3"/>
        <v>44241.1875</v>
      </c>
      <c r="K29" s="35">
        <f t="shared" si="0"/>
        <v>589882.5</v>
      </c>
    </row>
    <row r="30" spans="1:11" ht="12.6" customHeight="1" x14ac:dyDescent="0.3">
      <c r="A30" s="4"/>
      <c r="B30" s="88">
        <v>1602</v>
      </c>
      <c r="C30" s="46">
        <v>46.59</v>
      </c>
      <c r="D30" s="33">
        <v>108.9</v>
      </c>
      <c r="E30" s="34">
        <v>1</v>
      </c>
      <c r="F30" s="35">
        <v>745440</v>
      </c>
      <c r="G30" s="38"/>
      <c r="H30" s="35">
        <f t="shared" si="1"/>
        <v>111816</v>
      </c>
      <c r="I30" s="35">
        <f t="shared" si="2"/>
        <v>4141.333333333333</v>
      </c>
      <c r="J30" s="35">
        <f t="shared" si="3"/>
        <v>27954</v>
      </c>
      <c r="K30" s="35">
        <f t="shared" si="0"/>
        <v>372720</v>
      </c>
    </row>
    <row r="31" spans="1:11" ht="12.6" customHeight="1" x14ac:dyDescent="0.3">
      <c r="A31" s="4"/>
      <c r="B31" s="88">
        <v>1603</v>
      </c>
      <c r="C31" s="46">
        <v>46.59</v>
      </c>
      <c r="D31" s="33">
        <v>108.9</v>
      </c>
      <c r="E31" s="34">
        <v>1</v>
      </c>
      <c r="F31" s="35">
        <v>745440</v>
      </c>
      <c r="G31" s="38"/>
      <c r="H31" s="35">
        <f t="shared" si="1"/>
        <v>111816</v>
      </c>
      <c r="I31" s="35">
        <f t="shared" si="2"/>
        <v>4141.333333333333</v>
      </c>
      <c r="J31" s="35">
        <f t="shared" si="3"/>
        <v>27954</v>
      </c>
      <c r="K31" s="35">
        <f t="shared" si="0"/>
        <v>372720</v>
      </c>
    </row>
    <row r="32" spans="1:11" ht="12.6" customHeight="1" x14ac:dyDescent="0.3">
      <c r="A32" s="4"/>
      <c r="B32" s="88">
        <v>1604</v>
      </c>
      <c r="C32" s="46">
        <v>87.39</v>
      </c>
      <c r="D32" s="33">
        <v>209.26</v>
      </c>
      <c r="E32" s="34">
        <v>2</v>
      </c>
      <c r="F32" s="35">
        <v>1179765</v>
      </c>
      <c r="G32" s="38"/>
      <c r="H32" s="35">
        <f t="shared" si="1"/>
        <v>176964.75</v>
      </c>
      <c r="I32" s="35">
        <f t="shared" si="2"/>
        <v>6554.25</v>
      </c>
      <c r="J32" s="35">
        <f t="shared" si="3"/>
        <v>44241.1875</v>
      </c>
      <c r="K32" s="35">
        <f t="shared" si="0"/>
        <v>589882.5</v>
      </c>
    </row>
    <row r="33" spans="1:11" ht="12.6" customHeight="1" x14ac:dyDescent="0.3">
      <c r="A33" s="4"/>
      <c r="B33" s="88">
        <v>1605</v>
      </c>
      <c r="C33" s="46">
        <v>86.57</v>
      </c>
      <c r="D33" s="33">
        <v>207.83</v>
      </c>
      <c r="E33" s="34">
        <v>2</v>
      </c>
      <c r="F33" s="35">
        <v>1180381.95</v>
      </c>
      <c r="G33" s="38"/>
      <c r="H33" s="35">
        <f t="shared" si="1"/>
        <v>177057.29249999998</v>
      </c>
      <c r="I33" s="35">
        <f t="shared" si="2"/>
        <v>6557.6775000000007</v>
      </c>
      <c r="J33" s="35">
        <f t="shared" si="3"/>
        <v>44264.323124999995</v>
      </c>
      <c r="K33" s="35">
        <f t="shared" si="0"/>
        <v>590190.97499999998</v>
      </c>
    </row>
    <row r="34" spans="1:11" ht="12.6" customHeight="1" x14ac:dyDescent="0.3">
      <c r="A34" s="4"/>
      <c r="B34" s="88">
        <v>1606</v>
      </c>
      <c r="C34" s="46">
        <v>45.79</v>
      </c>
      <c r="D34" s="33">
        <v>107.49</v>
      </c>
      <c r="E34" s="34">
        <v>1</v>
      </c>
      <c r="F34" s="35">
        <v>739966.4</v>
      </c>
      <c r="G34" s="38"/>
      <c r="H34" s="35">
        <f t="shared" si="1"/>
        <v>110994.96</v>
      </c>
      <c r="I34" s="35">
        <f t="shared" si="2"/>
        <v>4110.9244444444448</v>
      </c>
      <c r="J34" s="35">
        <f t="shared" si="3"/>
        <v>27748.74</v>
      </c>
      <c r="K34" s="35">
        <f t="shared" si="0"/>
        <v>369983.2</v>
      </c>
    </row>
    <row r="35" spans="1:11" ht="12.6" customHeight="1" x14ac:dyDescent="0.3">
      <c r="A35" s="4"/>
      <c r="B35" s="88">
        <v>1607</v>
      </c>
      <c r="C35" s="46">
        <v>45.79</v>
      </c>
      <c r="D35" s="33">
        <v>107.49</v>
      </c>
      <c r="E35" s="34">
        <v>1</v>
      </c>
      <c r="F35" s="35">
        <v>739966.4</v>
      </c>
      <c r="G35" s="38"/>
      <c r="H35" s="35">
        <f t="shared" si="1"/>
        <v>110994.96</v>
      </c>
      <c r="I35" s="35">
        <f t="shared" si="2"/>
        <v>4110.9244444444448</v>
      </c>
      <c r="J35" s="35">
        <f t="shared" si="3"/>
        <v>27748.74</v>
      </c>
      <c r="K35" s="35">
        <f t="shared" si="0"/>
        <v>369983.2</v>
      </c>
    </row>
    <row r="36" spans="1:11" ht="12.6" customHeight="1" x14ac:dyDescent="0.3">
      <c r="A36" s="4"/>
      <c r="B36" s="88">
        <v>1608</v>
      </c>
      <c r="C36" s="46">
        <v>46.59</v>
      </c>
      <c r="D36" s="33">
        <v>108.9</v>
      </c>
      <c r="E36" s="34">
        <v>1</v>
      </c>
      <c r="F36" s="35">
        <v>752894.4</v>
      </c>
      <c r="G36" s="38"/>
      <c r="H36" s="35">
        <f t="shared" si="1"/>
        <v>112934.16</v>
      </c>
      <c r="I36" s="35">
        <f t="shared" si="2"/>
        <v>4182.7466666666669</v>
      </c>
      <c r="J36" s="35">
        <f t="shared" si="3"/>
        <v>28233.54</v>
      </c>
      <c r="K36" s="35">
        <f t="shared" si="0"/>
        <v>376447.2</v>
      </c>
    </row>
    <row r="37" spans="1:11" ht="12.6" customHeight="1" x14ac:dyDescent="0.3">
      <c r="A37" s="4"/>
      <c r="B37" s="89">
        <v>1609</v>
      </c>
      <c r="C37" s="46">
        <v>87.39</v>
      </c>
      <c r="D37" s="33">
        <v>209.26</v>
      </c>
      <c r="E37" s="34">
        <v>2</v>
      </c>
      <c r="F37" s="35">
        <v>1191562.6499999999</v>
      </c>
      <c r="G37" s="38"/>
      <c r="H37" s="35">
        <f t="shared" si="1"/>
        <v>178734.39749999999</v>
      </c>
      <c r="I37" s="35">
        <f t="shared" si="2"/>
        <v>6619.7924999999996</v>
      </c>
      <c r="J37" s="35">
        <f t="shared" si="3"/>
        <v>44683.599374999998</v>
      </c>
      <c r="K37" s="35">
        <f t="shared" si="0"/>
        <v>595781.32499999995</v>
      </c>
    </row>
    <row r="38" spans="1:11" ht="12.6" customHeight="1" thickBot="1" x14ac:dyDescent="0.35">
      <c r="A38" s="4"/>
      <c r="B38" s="47"/>
      <c r="C38" s="6"/>
      <c r="D38" s="7"/>
      <c r="E38" s="5"/>
      <c r="F38" s="11"/>
      <c r="G38" s="10"/>
      <c r="H38" s="11"/>
      <c r="I38" s="11"/>
      <c r="J38" s="11"/>
      <c r="K38" s="11"/>
    </row>
    <row r="39" spans="1:11" ht="15" thickTop="1" x14ac:dyDescent="0.3">
      <c r="A39" s="4"/>
      <c r="B39" s="12" t="s">
        <v>13</v>
      </c>
      <c r="C39" s="13"/>
      <c r="D39" s="14"/>
      <c r="E39" s="14"/>
      <c r="F39" s="14"/>
      <c r="G39" s="14"/>
      <c r="H39" s="14"/>
      <c r="I39" s="14"/>
      <c r="J39" s="84" t="str">
        <f>J3</f>
        <v>Tabela de Vendas – Vigência: 31/05/2026.</v>
      </c>
      <c r="K39" s="85"/>
    </row>
    <row r="40" spans="1:11" ht="15" thickBot="1" x14ac:dyDescent="0.35">
      <c r="A40" s="4"/>
      <c r="B40" s="15" t="s">
        <v>1</v>
      </c>
      <c r="C40" s="16"/>
      <c r="D40" s="17"/>
      <c r="E40" s="17"/>
      <c r="F40" s="17"/>
      <c r="G40" s="17"/>
      <c r="H40" s="17"/>
      <c r="I40" s="17"/>
      <c r="J40" s="86"/>
      <c r="K40" s="87"/>
    </row>
    <row r="41" spans="1:11" ht="3.6" customHeight="1" thickTop="1" thickBot="1" x14ac:dyDescent="0.35">
      <c r="A41" s="4"/>
      <c r="B41" s="18"/>
      <c r="C41" s="19"/>
      <c r="D41" s="20"/>
      <c r="E41" s="20"/>
      <c r="F41" s="20"/>
      <c r="G41" s="20"/>
      <c r="H41" s="20"/>
      <c r="I41" s="20"/>
      <c r="J41" s="20"/>
      <c r="K41" s="21"/>
    </row>
    <row r="42" spans="1:11" ht="15.6" thickTop="1" thickBot="1" x14ac:dyDescent="0.35">
      <c r="A42" s="4"/>
      <c r="B42" s="80" t="s">
        <v>2</v>
      </c>
      <c r="C42" s="81"/>
      <c r="D42" s="81"/>
      <c r="E42" s="81"/>
      <c r="F42" s="81"/>
      <c r="G42" s="81"/>
      <c r="H42" s="81"/>
      <c r="I42" s="81"/>
      <c r="J42" s="81"/>
      <c r="K42" s="82"/>
    </row>
    <row r="43" spans="1:11" ht="3.6" customHeight="1" thickTop="1" thickBot="1" x14ac:dyDescent="0.35">
      <c r="A43" s="4"/>
      <c r="B43" s="22"/>
      <c r="C43" s="23"/>
      <c r="D43" s="24"/>
      <c r="E43" s="22"/>
      <c r="F43" s="24"/>
      <c r="G43" s="24"/>
      <c r="H43" s="24"/>
      <c r="I43" s="25"/>
      <c r="J43" s="25"/>
      <c r="K43" s="25"/>
    </row>
    <row r="44" spans="1:11" ht="15.6" thickTop="1" thickBot="1" x14ac:dyDescent="0.35">
      <c r="A44" s="4"/>
      <c r="B44" s="73" t="s">
        <v>3</v>
      </c>
      <c r="C44" s="83" t="s">
        <v>4</v>
      </c>
      <c r="D44" s="73" t="s">
        <v>5</v>
      </c>
      <c r="E44" s="73" t="s">
        <v>6</v>
      </c>
      <c r="F44" s="73" t="s">
        <v>7</v>
      </c>
      <c r="G44" s="5"/>
      <c r="H44" s="73" t="s">
        <v>8</v>
      </c>
      <c r="I44" s="75" t="s">
        <v>9</v>
      </c>
      <c r="J44" s="75"/>
      <c r="K44" s="75"/>
    </row>
    <row r="45" spans="1:11" ht="25.2" thickTop="1" thickBot="1" x14ac:dyDescent="0.35">
      <c r="A45" s="4"/>
      <c r="B45" s="73"/>
      <c r="C45" s="83"/>
      <c r="D45" s="73"/>
      <c r="E45" s="73"/>
      <c r="F45" s="73"/>
      <c r="G45" s="5"/>
      <c r="H45" s="73"/>
      <c r="I45" s="61" t="s">
        <v>10</v>
      </c>
      <c r="J45" s="61" t="s">
        <v>14</v>
      </c>
      <c r="K45" s="61" t="s">
        <v>12</v>
      </c>
    </row>
    <row r="46" spans="1:11" ht="12" customHeight="1" thickTop="1" x14ac:dyDescent="0.3">
      <c r="A46" s="4"/>
      <c r="B46" s="26"/>
      <c r="C46" s="48"/>
      <c r="D46" s="49"/>
      <c r="E46" s="50"/>
      <c r="F46" s="51"/>
      <c r="G46" s="45"/>
      <c r="H46" s="52"/>
      <c r="I46" s="52"/>
      <c r="J46" s="52"/>
      <c r="K46" s="53"/>
    </row>
    <row r="47" spans="1:11" ht="12" customHeight="1" x14ac:dyDescent="0.3">
      <c r="A47" s="4"/>
      <c r="B47" s="90">
        <v>1701</v>
      </c>
      <c r="C47" s="41">
        <v>87.39</v>
      </c>
      <c r="D47" s="42">
        <v>209.26</v>
      </c>
      <c r="E47" s="43">
        <v>2</v>
      </c>
      <c r="F47" s="44">
        <v>1179765</v>
      </c>
      <c r="G47" s="10"/>
      <c r="H47" s="44">
        <f t="shared" ref="H47:H73" si="4">F47*H$10</f>
        <v>176964.75</v>
      </c>
      <c r="I47" s="44">
        <f>(F47*I$10)/$F$10</f>
        <v>6554.25</v>
      </c>
      <c r="J47" s="44">
        <f>(F47*J$10)/$E$10</f>
        <v>44241.1875</v>
      </c>
      <c r="K47" s="44">
        <f t="shared" ref="K47:K73" si="5">F47*K$10</f>
        <v>589882.5</v>
      </c>
    </row>
    <row r="48" spans="1:11" ht="12" customHeight="1" x14ac:dyDescent="0.3">
      <c r="A48" s="4"/>
      <c r="B48" s="91">
        <v>1702</v>
      </c>
      <c r="C48" s="41">
        <v>46.59</v>
      </c>
      <c r="D48" s="42">
        <v>108.9</v>
      </c>
      <c r="E48" s="43">
        <v>1</v>
      </c>
      <c r="F48" s="44">
        <v>745440</v>
      </c>
      <c r="G48" s="10"/>
      <c r="H48" s="44">
        <f t="shared" si="4"/>
        <v>111816</v>
      </c>
      <c r="I48" s="44">
        <f t="shared" ref="I48:I55" si="6">(F48*I$10)/$F$10</f>
        <v>4141.333333333333</v>
      </c>
      <c r="J48" s="44">
        <f t="shared" ref="J48:J55" si="7">(F48*J$10)/$E$10</f>
        <v>27954</v>
      </c>
      <c r="K48" s="44">
        <f t="shared" si="5"/>
        <v>372720</v>
      </c>
    </row>
    <row r="49" spans="1:11" ht="12" customHeight="1" x14ac:dyDescent="0.3">
      <c r="A49" s="4"/>
      <c r="B49" s="91">
        <v>1703</v>
      </c>
      <c r="C49" s="41">
        <v>46.59</v>
      </c>
      <c r="D49" s="42">
        <v>108.9</v>
      </c>
      <c r="E49" s="43">
        <v>1</v>
      </c>
      <c r="F49" s="44">
        <v>745440</v>
      </c>
      <c r="G49" s="10"/>
      <c r="H49" s="44">
        <f t="shared" si="4"/>
        <v>111816</v>
      </c>
      <c r="I49" s="44">
        <f t="shared" si="6"/>
        <v>4141.333333333333</v>
      </c>
      <c r="J49" s="44">
        <f t="shared" si="7"/>
        <v>27954</v>
      </c>
      <c r="K49" s="44">
        <f t="shared" si="5"/>
        <v>372720</v>
      </c>
    </row>
    <row r="50" spans="1:11" ht="12" customHeight="1" x14ac:dyDescent="0.3">
      <c r="A50" s="4"/>
      <c r="B50" s="55">
        <v>1704</v>
      </c>
      <c r="C50" s="41">
        <v>87.39</v>
      </c>
      <c r="D50" s="42">
        <v>209.26</v>
      </c>
      <c r="E50" s="43">
        <v>2</v>
      </c>
      <c r="F50" s="44">
        <v>1179765</v>
      </c>
      <c r="G50" s="45"/>
      <c r="H50" s="44">
        <f t="shared" si="4"/>
        <v>176964.75</v>
      </c>
      <c r="I50" s="44">
        <f t="shared" si="6"/>
        <v>6554.25</v>
      </c>
      <c r="J50" s="44">
        <f t="shared" si="7"/>
        <v>44241.1875</v>
      </c>
      <c r="K50" s="44">
        <f t="shared" si="5"/>
        <v>589882.5</v>
      </c>
    </row>
    <row r="51" spans="1:11" ht="12" customHeight="1" x14ac:dyDescent="0.3">
      <c r="A51" s="4"/>
      <c r="B51" s="55">
        <v>1705</v>
      </c>
      <c r="C51" s="41">
        <v>86.57</v>
      </c>
      <c r="D51" s="42">
        <v>207.83</v>
      </c>
      <c r="E51" s="43">
        <v>2</v>
      </c>
      <c r="F51" s="44">
        <v>1180381.95</v>
      </c>
      <c r="G51" s="45"/>
      <c r="H51" s="44">
        <f t="shared" si="4"/>
        <v>177057.29249999998</v>
      </c>
      <c r="I51" s="44">
        <f t="shared" si="6"/>
        <v>6557.6775000000007</v>
      </c>
      <c r="J51" s="44">
        <f t="shared" si="7"/>
        <v>44264.323124999995</v>
      </c>
      <c r="K51" s="44">
        <f t="shared" si="5"/>
        <v>590190.97499999998</v>
      </c>
    </row>
    <row r="52" spans="1:11" ht="12" customHeight="1" x14ac:dyDescent="0.3">
      <c r="A52" s="4"/>
      <c r="B52" s="55">
        <v>1706</v>
      </c>
      <c r="C52" s="41">
        <v>45.79</v>
      </c>
      <c r="D52" s="42">
        <v>107.49</v>
      </c>
      <c r="E52" s="43">
        <v>1</v>
      </c>
      <c r="F52" s="44">
        <v>739966.4</v>
      </c>
      <c r="G52" s="10"/>
      <c r="H52" s="44">
        <f t="shared" si="4"/>
        <v>110994.96</v>
      </c>
      <c r="I52" s="44">
        <f t="shared" si="6"/>
        <v>4110.9244444444448</v>
      </c>
      <c r="J52" s="44">
        <f t="shared" si="7"/>
        <v>27748.74</v>
      </c>
      <c r="K52" s="44">
        <f t="shared" si="5"/>
        <v>369983.2</v>
      </c>
    </row>
    <row r="53" spans="1:11" ht="12" customHeight="1" x14ac:dyDescent="0.3">
      <c r="A53" s="4"/>
      <c r="B53" s="55">
        <v>1707</v>
      </c>
      <c r="C53" s="41">
        <v>45.79</v>
      </c>
      <c r="D53" s="42">
        <v>107.49</v>
      </c>
      <c r="E53" s="43">
        <v>1</v>
      </c>
      <c r="F53" s="44">
        <v>739966.4</v>
      </c>
      <c r="G53" s="10"/>
      <c r="H53" s="44">
        <f t="shared" si="4"/>
        <v>110994.96</v>
      </c>
      <c r="I53" s="44">
        <f t="shared" si="6"/>
        <v>4110.9244444444448</v>
      </c>
      <c r="J53" s="44">
        <f t="shared" si="7"/>
        <v>27748.74</v>
      </c>
      <c r="K53" s="44">
        <f t="shared" si="5"/>
        <v>369983.2</v>
      </c>
    </row>
    <row r="54" spans="1:11" ht="12" customHeight="1" x14ac:dyDescent="0.3">
      <c r="A54" s="4"/>
      <c r="B54" s="91">
        <v>1708</v>
      </c>
      <c r="C54" s="41">
        <v>46.59</v>
      </c>
      <c r="D54" s="42">
        <v>108.9</v>
      </c>
      <c r="E54" s="43">
        <v>1</v>
      </c>
      <c r="F54" s="44">
        <v>752894.4</v>
      </c>
      <c r="G54" s="10"/>
      <c r="H54" s="44">
        <f t="shared" si="4"/>
        <v>112934.16</v>
      </c>
      <c r="I54" s="44">
        <f t="shared" si="6"/>
        <v>4182.7466666666669</v>
      </c>
      <c r="J54" s="44">
        <f t="shared" si="7"/>
        <v>28233.54</v>
      </c>
      <c r="K54" s="44">
        <f t="shared" si="5"/>
        <v>376447.2</v>
      </c>
    </row>
    <row r="55" spans="1:11" ht="12" customHeight="1" x14ac:dyDescent="0.3">
      <c r="A55" s="4"/>
      <c r="B55" s="91">
        <v>1709</v>
      </c>
      <c r="C55" s="41">
        <v>87.39</v>
      </c>
      <c r="D55" s="42">
        <v>209.26</v>
      </c>
      <c r="E55" s="43">
        <v>2</v>
      </c>
      <c r="F55" s="44">
        <v>1191562.6499999999</v>
      </c>
      <c r="G55" s="10"/>
      <c r="H55" s="44">
        <f t="shared" si="4"/>
        <v>178734.39749999999</v>
      </c>
      <c r="I55" s="44">
        <f t="shared" si="6"/>
        <v>6619.7924999999996</v>
      </c>
      <c r="J55" s="44">
        <f t="shared" si="7"/>
        <v>44683.599374999998</v>
      </c>
      <c r="K55" s="44">
        <f t="shared" si="5"/>
        <v>595781.32499999995</v>
      </c>
    </row>
    <row r="56" spans="1:11" ht="12" customHeight="1" x14ac:dyDescent="0.3">
      <c r="A56" s="4"/>
      <c r="B56" s="92">
        <v>1801</v>
      </c>
      <c r="C56" s="32">
        <v>87.39</v>
      </c>
      <c r="D56" s="33">
        <v>209.26</v>
      </c>
      <c r="E56" s="34">
        <v>2</v>
      </c>
      <c r="F56" s="35">
        <v>1191562.6499999999</v>
      </c>
      <c r="G56" s="38"/>
      <c r="H56" s="35">
        <f t="shared" si="4"/>
        <v>178734.39749999999</v>
      </c>
      <c r="I56" s="35">
        <f>(F56*I$10)/$F$10</f>
        <v>6619.7924999999996</v>
      </c>
      <c r="J56" s="35">
        <f>(F56*J$10)/$E$10</f>
        <v>44683.599374999998</v>
      </c>
      <c r="K56" s="35">
        <f t="shared" si="5"/>
        <v>595781.32499999995</v>
      </c>
    </row>
    <row r="57" spans="1:11" ht="12" customHeight="1" x14ac:dyDescent="0.3">
      <c r="A57" s="4"/>
      <c r="B57" s="88">
        <v>1802</v>
      </c>
      <c r="C57" s="32">
        <v>46.59</v>
      </c>
      <c r="D57" s="33">
        <v>108.9</v>
      </c>
      <c r="E57" s="34">
        <v>1</v>
      </c>
      <c r="F57" s="35">
        <v>752894.4</v>
      </c>
      <c r="G57" s="38"/>
      <c r="H57" s="35">
        <f t="shared" si="4"/>
        <v>112934.16</v>
      </c>
      <c r="I57" s="35">
        <f t="shared" ref="I57:I64" si="8">(F57*I$10)/$F$10</f>
        <v>4182.7466666666669</v>
      </c>
      <c r="J57" s="35">
        <f t="shared" ref="J57:J64" si="9">(F57*J$10)/$E$10</f>
        <v>28233.54</v>
      </c>
      <c r="K57" s="35">
        <f t="shared" si="5"/>
        <v>376447.2</v>
      </c>
    </row>
    <row r="58" spans="1:11" ht="12" customHeight="1" x14ac:dyDescent="0.3">
      <c r="A58" s="4"/>
      <c r="B58" s="88">
        <v>1803</v>
      </c>
      <c r="C58" s="32">
        <v>46.59</v>
      </c>
      <c r="D58" s="33">
        <v>108.9</v>
      </c>
      <c r="E58" s="34">
        <v>1</v>
      </c>
      <c r="F58" s="35">
        <v>752894.4</v>
      </c>
      <c r="G58" s="38"/>
      <c r="H58" s="35">
        <f t="shared" si="4"/>
        <v>112934.16</v>
      </c>
      <c r="I58" s="35">
        <f t="shared" si="8"/>
        <v>4182.7466666666669</v>
      </c>
      <c r="J58" s="35">
        <f t="shared" si="9"/>
        <v>28233.54</v>
      </c>
      <c r="K58" s="35">
        <f t="shared" si="5"/>
        <v>376447.2</v>
      </c>
    </row>
    <row r="59" spans="1:11" ht="12" customHeight="1" x14ac:dyDescent="0.3">
      <c r="A59" s="4"/>
      <c r="B59" s="88">
        <v>1804</v>
      </c>
      <c r="C59" s="32">
        <v>87.39</v>
      </c>
      <c r="D59" s="33">
        <v>209.26</v>
      </c>
      <c r="E59" s="34">
        <v>2</v>
      </c>
      <c r="F59" s="35">
        <v>1191562.6499999999</v>
      </c>
      <c r="G59" s="38"/>
      <c r="H59" s="35">
        <f t="shared" si="4"/>
        <v>178734.39749999999</v>
      </c>
      <c r="I59" s="35">
        <f t="shared" si="8"/>
        <v>6619.7924999999996</v>
      </c>
      <c r="J59" s="35">
        <f t="shared" si="9"/>
        <v>44683.599374999998</v>
      </c>
      <c r="K59" s="35">
        <f t="shared" si="5"/>
        <v>595781.32499999995</v>
      </c>
    </row>
    <row r="60" spans="1:11" ht="12" customHeight="1" x14ac:dyDescent="0.3">
      <c r="A60" s="4"/>
      <c r="B60" s="88">
        <v>1805</v>
      </c>
      <c r="C60" s="32">
        <v>86.57</v>
      </c>
      <c r="D60" s="33">
        <v>207.83</v>
      </c>
      <c r="E60" s="34">
        <v>2</v>
      </c>
      <c r="F60" s="35">
        <v>1192185.7694999999</v>
      </c>
      <c r="G60" s="36"/>
      <c r="H60" s="35">
        <f t="shared" si="4"/>
        <v>178827.865425</v>
      </c>
      <c r="I60" s="35">
        <f t="shared" si="8"/>
        <v>6623.2542750000002</v>
      </c>
      <c r="J60" s="35">
        <f t="shared" si="9"/>
        <v>44706.966356249999</v>
      </c>
      <c r="K60" s="35">
        <f t="shared" si="5"/>
        <v>596092.88474999997</v>
      </c>
    </row>
    <row r="61" spans="1:11" ht="12" customHeight="1" x14ac:dyDescent="0.3">
      <c r="A61" s="4"/>
      <c r="B61" s="88">
        <v>1806</v>
      </c>
      <c r="C61" s="32">
        <v>45.79</v>
      </c>
      <c r="D61" s="33">
        <v>107.49</v>
      </c>
      <c r="E61" s="34">
        <v>1</v>
      </c>
      <c r="F61" s="35">
        <v>747366.06400000001</v>
      </c>
      <c r="G61" s="36"/>
      <c r="H61" s="35">
        <f t="shared" si="4"/>
        <v>112104.9096</v>
      </c>
      <c r="I61" s="35">
        <f t="shared" si="8"/>
        <v>4152.0336888888887</v>
      </c>
      <c r="J61" s="35">
        <f t="shared" si="9"/>
        <v>28026.2274</v>
      </c>
      <c r="K61" s="35">
        <f t="shared" si="5"/>
        <v>373683.03200000001</v>
      </c>
    </row>
    <row r="62" spans="1:11" ht="12" customHeight="1" x14ac:dyDescent="0.3">
      <c r="A62" s="4"/>
      <c r="B62" s="88">
        <v>1807</v>
      </c>
      <c r="C62" s="32">
        <v>45.79</v>
      </c>
      <c r="D62" s="33">
        <v>107.49</v>
      </c>
      <c r="E62" s="34">
        <v>1</v>
      </c>
      <c r="F62" s="35">
        <v>747366.06400000001</v>
      </c>
      <c r="G62" s="36"/>
      <c r="H62" s="35">
        <f t="shared" si="4"/>
        <v>112104.9096</v>
      </c>
      <c r="I62" s="35">
        <f t="shared" si="8"/>
        <v>4152.0336888888887</v>
      </c>
      <c r="J62" s="35">
        <f t="shared" si="9"/>
        <v>28026.2274</v>
      </c>
      <c r="K62" s="35">
        <f t="shared" si="5"/>
        <v>373683.03200000001</v>
      </c>
    </row>
    <row r="63" spans="1:11" ht="12" customHeight="1" x14ac:dyDescent="0.3">
      <c r="A63" s="4"/>
      <c r="B63" s="88">
        <v>1808</v>
      </c>
      <c r="C63" s="32">
        <v>46.59</v>
      </c>
      <c r="D63" s="33">
        <v>108.9</v>
      </c>
      <c r="E63" s="34">
        <v>1</v>
      </c>
      <c r="F63" s="35">
        <v>760423.34400000004</v>
      </c>
      <c r="G63" s="36"/>
      <c r="H63" s="35">
        <f t="shared" si="4"/>
        <v>114063.5016</v>
      </c>
      <c r="I63" s="35">
        <f t="shared" si="8"/>
        <v>4224.5741333333335</v>
      </c>
      <c r="J63" s="35">
        <f t="shared" si="9"/>
        <v>28515.875400000001</v>
      </c>
      <c r="K63" s="35">
        <f t="shared" si="5"/>
        <v>380211.67200000002</v>
      </c>
    </row>
    <row r="64" spans="1:11" ht="12" customHeight="1" x14ac:dyDescent="0.3">
      <c r="A64" s="4"/>
      <c r="B64" s="89">
        <v>1809</v>
      </c>
      <c r="C64" s="32">
        <v>87.39</v>
      </c>
      <c r="D64" s="33">
        <v>209.26</v>
      </c>
      <c r="E64" s="34">
        <v>2</v>
      </c>
      <c r="F64" s="35">
        <v>1203478.2764999999</v>
      </c>
      <c r="G64" s="38"/>
      <c r="H64" s="35">
        <f t="shared" si="4"/>
        <v>180521.74147499999</v>
      </c>
      <c r="I64" s="35">
        <f t="shared" si="8"/>
        <v>6685.990425</v>
      </c>
      <c r="J64" s="35">
        <f t="shared" si="9"/>
        <v>45130.435368749997</v>
      </c>
      <c r="K64" s="35">
        <f t="shared" si="5"/>
        <v>601739.13824999996</v>
      </c>
    </row>
    <row r="65" spans="1:11" ht="12" customHeight="1" x14ac:dyDescent="0.3">
      <c r="A65" s="4"/>
      <c r="B65" s="91">
        <v>1901</v>
      </c>
      <c r="C65" s="41">
        <v>87.39</v>
      </c>
      <c r="D65" s="42">
        <v>209.26</v>
      </c>
      <c r="E65" s="43">
        <v>2</v>
      </c>
      <c r="F65" s="44">
        <v>1203478.2764999999</v>
      </c>
      <c r="G65" s="10"/>
      <c r="H65" s="44">
        <f t="shared" si="4"/>
        <v>180521.74147499999</v>
      </c>
      <c r="I65" s="44">
        <f>(F65*I$10)/$F$10</f>
        <v>6685.990425</v>
      </c>
      <c r="J65" s="44">
        <f>(F65*J$10)/$E$10</f>
        <v>45130.435368749997</v>
      </c>
      <c r="K65" s="44">
        <f t="shared" si="5"/>
        <v>601739.13824999996</v>
      </c>
    </row>
    <row r="66" spans="1:11" ht="12" customHeight="1" x14ac:dyDescent="0.3">
      <c r="A66" s="4"/>
      <c r="B66" s="55">
        <v>1902</v>
      </c>
      <c r="C66" s="41">
        <v>46.59</v>
      </c>
      <c r="D66" s="42">
        <v>108.9</v>
      </c>
      <c r="E66" s="43">
        <v>1</v>
      </c>
      <c r="F66" s="44">
        <v>760423.34400000004</v>
      </c>
      <c r="G66" s="10"/>
      <c r="H66" s="44">
        <f t="shared" si="4"/>
        <v>114063.5016</v>
      </c>
      <c r="I66" s="44">
        <f t="shared" ref="I66:I73" si="10">(F66*I$10)/$F$10</f>
        <v>4224.5741333333335</v>
      </c>
      <c r="J66" s="44">
        <f t="shared" ref="J66:J73" si="11">(F66*J$10)/$E$10</f>
        <v>28515.875400000001</v>
      </c>
      <c r="K66" s="44">
        <f t="shared" si="5"/>
        <v>380211.67200000002</v>
      </c>
    </row>
    <row r="67" spans="1:11" ht="12" customHeight="1" x14ac:dyDescent="0.3">
      <c r="A67" s="4"/>
      <c r="B67" s="55">
        <v>1903</v>
      </c>
      <c r="C67" s="41">
        <v>46.59</v>
      </c>
      <c r="D67" s="42">
        <v>108.9</v>
      </c>
      <c r="E67" s="43">
        <v>1</v>
      </c>
      <c r="F67" s="44">
        <v>760423.34400000004</v>
      </c>
      <c r="G67" s="10"/>
      <c r="H67" s="44">
        <f t="shared" si="4"/>
        <v>114063.5016</v>
      </c>
      <c r="I67" s="44">
        <f t="shared" si="10"/>
        <v>4224.5741333333335</v>
      </c>
      <c r="J67" s="44">
        <f t="shared" si="11"/>
        <v>28515.875400000001</v>
      </c>
      <c r="K67" s="44">
        <f t="shared" si="5"/>
        <v>380211.67200000002</v>
      </c>
    </row>
    <row r="68" spans="1:11" ht="12" customHeight="1" x14ac:dyDescent="0.3">
      <c r="A68" s="4"/>
      <c r="B68" s="91">
        <v>1904</v>
      </c>
      <c r="C68" s="41">
        <v>87.39</v>
      </c>
      <c r="D68" s="42">
        <v>209.26</v>
      </c>
      <c r="E68" s="43">
        <v>2</v>
      </c>
      <c r="F68" s="44">
        <v>1203478.2764999999</v>
      </c>
      <c r="G68" s="10"/>
      <c r="H68" s="44">
        <f t="shared" si="4"/>
        <v>180521.74147499999</v>
      </c>
      <c r="I68" s="44">
        <f t="shared" si="10"/>
        <v>6685.990425</v>
      </c>
      <c r="J68" s="44">
        <f t="shared" si="11"/>
        <v>45130.435368749997</v>
      </c>
      <c r="K68" s="44">
        <f t="shared" si="5"/>
        <v>601739.13824999996</v>
      </c>
    </row>
    <row r="69" spans="1:11" ht="12" customHeight="1" x14ac:dyDescent="0.3">
      <c r="A69" s="4"/>
      <c r="B69" s="91">
        <v>1905</v>
      </c>
      <c r="C69" s="41">
        <v>86.57</v>
      </c>
      <c r="D69" s="42">
        <v>207.83</v>
      </c>
      <c r="E69" s="43">
        <v>2</v>
      </c>
      <c r="F69" s="44">
        <v>1204107.627195</v>
      </c>
      <c r="G69" s="10"/>
      <c r="H69" s="44">
        <f t="shared" si="4"/>
        <v>180616.14407924999</v>
      </c>
      <c r="I69" s="44">
        <f t="shared" si="10"/>
        <v>6689.4868177499993</v>
      </c>
      <c r="J69" s="44">
        <f t="shared" si="11"/>
        <v>45154.036019812498</v>
      </c>
      <c r="K69" s="44">
        <f t="shared" si="5"/>
        <v>602053.81359749998</v>
      </c>
    </row>
    <row r="70" spans="1:11" ht="12" customHeight="1" x14ac:dyDescent="0.3">
      <c r="A70" s="4"/>
      <c r="B70" s="91">
        <v>1906</v>
      </c>
      <c r="C70" s="41">
        <v>45.79</v>
      </c>
      <c r="D70" s="42">
        <v>107.49</v>
      </c>
      <c r="E70" s="43">
        <v>1</v>
      </c>
      <c r="F70" s="44">
        <v>754839.72464000003</v>
      </c>
      <c r="G70" s="10"/>
      <c r="H70" s="44">
        <f t="shared" si="4"/>
        <v>113225.958696</v>
      </c>
      <c r="I70" s="44">
        <f t="shared" si="10"/>
        <v>4193.5540257777784</v>
      </c>
      <c r="J70" s="44">
        <f t="shared" si="11"/>
        <v>28306.489674</v>
      </c>
      <c r="K70" s="44">
        <f t="shared" si="5"/>
        <v>377419.86232000001</v>
      </c>
    </row>
    <row r="71" spans="1:11" ht="12" customHeight="1" x14ac:dyDescent="0.3">
      <c r="A71" s="4"/>
      <c r="B71" s="91">
        <v>1907</v>
      </c>
      <c r="C71" s="41">
        <v>45.79</v>
      </c>
      <c r="D71" s="42">
        <v>107.49</v>
      </c>
      <c r="E71" s="43">
        <v>1</v>
      </c>
      <c r="F71" s="44">
        <v>754839.72464000003</v>
      </c>
      <c r="G71" s="10"/>
      <c r="H71" s="44">
        <f t="shared" si="4"/>
        <v>113225.958696</v>
      </c>
      <c r="I71" s="44">
        <f t="shared" si="10"/>
        <v>4193.5540257777784</v>
      </c>
      <c r="J71" s="44">
        <f t="shared" si="11"/>
        <v>28306.489674</v>
      </c>
      <c r="K71" s="44">
        <f t="shared" si="5"/>
        <v>377419.86232000001</v>
      </c>
    </row>
    <row r="72" spans="1:11" ht="12" customHeight="1" x14ac:dyDescent="0.3">
      <c r="A72" s="4"/>
      <c r="B72" s="91">
        <v>1908</v>
      </c>
      <c r="C72" s="41">
        <v>46.59</v>
      </c>
      <c r="D72" s="42">
        <v>108.9</v>
      </c>
      <c r="E72" s="43">
        <v>1</v>
      </c>
      <c r="F72" s="44">
        <v>768027.57744000002</v>
      </c>
      <c r="G72" s="10"/>
      <c r="H72" s="44">
        <f t="shared" si="4"/>
        <v>115204.136616</v>
      </c>
      <c r="I72" s="44">
        <f t="shared" si="10"/>
        <v>4266.8198746666667</v>
      </c>
      <c r="J72" s="44">
        <f t="shared" si="11"/>
        <v>28801.034154000001</v>
      </c>
      <c r="K72" s="44">
        <f t="shared" si="5"/>
        <v>384013.78872000001</v>
      </c>
    </row>
    <row r="73" spans="1:11" ht="12" customHeight="1" x14ac:dyDescent="0.3">
      <c r="A73" s="4"/>
      <c r="B73" s="56">
        <v>1909</v>
      </c>
      <c r="C73" s="41">
        <v>87.39</v>
      </c>
      <c r="D73" s="42">
        <v>209.26</v>
      </c>
      <c r="E73" s="43">
        <v>2</v>
      </c>
      <c r="F73" s="44">
        <v>1215513.0592649998</v>
      </c>
      <c r="G73" s="10"/>
      <c r="H73" s="44">
        <f t="shared" si="4"/>
        <v>182326.95888974998</v>
      </c>
      <c r="I73" s="44">
        <f t="shared" si="10"/>
        <v>6752.850329249999</v>
      </c>
      <c r="J73" s="44">
        <f t="shared" si="11"/>
        <v>45581.739722437494</v>
      </c>
      <c r="K73" s="44">
        <f t="shared" si="5"/>
        <v>607756.52963249991</v>
      </c>
    </row>
    <row r="74" spans="1:11" ht="12.6" customHeight="1" thickBot="1" x14ac:dyDescent="0.35">
      <c r="A74" s="4"/>
      <c r="B74" s="47"/>
      <c r="C74" s="6"/>
      <c r="D74" s="7"/>
      <c r="E74" s="5"/>
      <c r="F74" s="11"/>
      <c r="G74" s="10"/>
      <c r="H74" s="11"/>
      <c r="I74" s="11"/>
      <c r="J74" s="11"/>
      <c r="K74" s="11"/>
    </row>
    <row r="75" spans="1:11" ht="15" thickTop="1" x14ac:dyDescent="0.3">
      <c r="A75" s="4"/>
      <c r="B75" s="12" t="s">
        <v>13</v>
      </c>
      <c r="C75" s="13"/>
      <c r="D75" s="14"/>
      <c r="E75" s="14"/>
      <c r="F75" s="14"/>
      <c r="G75" s="14"/>
      <c r="H75" s="14"/>
      <c r="I75" s="14"/>
      <c r="J75" s="84" t="str">
        <f>J3</f>
        <v>Tabela de Vendas – Vigência: 31/05/2026.</v>
      </c>
      <c r="K75" s="85"/>
    </row>
    <row r="76" spans="1:11" ht="15" thickBot="1" x14ac:dyDescent="0.35">
      <c r="A76" s="4"/>
      <c r="B76" s="15" t="s">
        <v>1</v>
      </c>
      <c r="C76" s="16"/>
      <c r="D76" s="17"/>
      <c r="E76" s="17"/>
      <c r="F76" s="17"/>
      <c r="G76" s="17"/>
      <c r="H76" s="17"/>
      <c r="I76" s="17"/>
      <c r="J76" s="86"/>
      <c r="K76" s="87"/>
    </row>
    <row r="77" spans="1:11" ht="3.6" customHeight="1" thickTop="1" thickBot="1" x14ac:dyDescent="0.35">
      <c r="A77" s="4"/>
      <c r="B77" s="18"/>
      <c r="C77" s="19"/>
      <c r="D77" s="20"/>
      <c r="E77" s="20"/>
      <c r="F77" s="20"/>
      <c r="G77" s="20"/>
      <c r="H77" s="20"/>
      <c r="I77" s="20"/>
      <c r="J77" s="20"/>
      <c r="K77" s="21"/>
    </row>
    <row r="78" spans="1:11" ht="15.6" thickTop="1" thickBot="1" x14ac:dyDescent="0.35">
      <c r="A78" s="4"/>
      <c r="B78" s="80" t="s">
        <v>2</v>
      </c>
      <c r="C78" s="81"/>
      <c r="D78" s="81"/>
      <c r="E78" s="81"/>
      <c r="F78" s="81"/>
      <c r="G78" s="81"/>
      <c r="H78" s="81"/>
      <c r="I78" s="81"/>
      <c r="J78" s="81"/>
      <c r="K78" s="82"/>
    </row>
    <row r="79" spans="1:11" ht="3.6" customHeight="1" thickTop="1" thickBot="1" x14ac:dyDescent="0.35">
      <c r="A79" s="4"/>
      <c r="B79" s="22"/>
      <c r="C79" s="23"/>
      <c r="D79" s="24"/>
      <c r="E79" s="22"/>
      <c r="F79" s="24"/>
      <c r="G79" s="24"/>
      <c r="H79" s="24"/>
      <c r="I79" s="24"/>
      <c r="J79" s="24"/>
      <c r="K79" s="24"/>
    </row>
    <row r="80" spans="1:11" ht="15.6" thickTop="1" thickBot="1" x14ac:dyDescent="0.35">
      <c r="A80" s="4"/>
      <c r="B80" s="73" t="s">
        <v>3</v>
      </c>
      <c r="C80" s="83" t="s">
        <v>4</v>
      </c>
      <c r="D80" s="73" t="s">
        <v>5</v>
      </c>
      <c r="E80" s="73" t="s">
        <v>6</v>
      </c>
      <c r="F80" s="73" t="s">
        <v>7</v>
      </c>
      <c r="G80" s="5"/>
      <c r="H80" s="73" t="s">
        <v>8</v>
      </c>
      <c r="I80" s="75" t="s">
        <v>9</v>
      </c>
      <c r="J80" s="75"/>
      <c r="K80" s="75"/>
    </row>
    <row r="81" spans="1:11" ht="25.2" thickTop="1" thickBot="1" x14ac:dyDescent="0.35">
      <c r="A81" s="4"/>
      <c r="B81" s="73"/>
      <c r="C81" s="83"/>
      <c r="D81" s="73"/>
      <c r="E81" s="73"/>
      <c r="F81" s="73"/>
      <c r="G81" s="5"/>
      <c r="H81" s="73"/>
      <c r="I81" s="61" t="s">
        <v>10</v>
      </c>
      <c r="J81" s="61" t="s">
        <v>14</v>
      </c>
      <c r="K81" s="61" t="s">
        <v>12</v>
      </c>
    </row>
    <row r="82" spans="1:11" ht="12" customHeight="1" thickTop="1" x14ac:dyDescent="0.3">
      <c r="A82" s="4"/>
      <c r="B82" s="26"/>
      <c r="C82" s="48"/>
      <c r="D82" s="49"/>
      <c r="E82" s="50"/>
      <c r="F82" s="51"/>
      <c r="G82" s="45"/>
      <c r="H82" s="52"/>
      <c r="I82" s="52"/>
      <c r="J82" s="52"/>
      <c r="K82" s="53"/>
    </row>
    <row r="83" spans="1:11" ht="12" customHeight="1" x14ac:dyDescent="0.3">
      <c r="A83" s="4"/>
      <c r="B83" s="31">
        <v>2001</v>
      </c>
      <c r="C83" s="46">
        <v>87.39</v>
      </c>
      <c r="D83" s="33">
        <v>209.26</v>
      </c>
      <c r="E83" s="34">
        <v>2</v>
      </c>
      <c r="F83" s="35">
        <v>1215513.0592649998</v>
      </c>
      <c r="G83" s="38"/>
      <c r="H83" s="35">
        <f t="shared" ref="H83:H109" si="12">F83*H$10</f>
        <v>182326.95888974998</v>
      </c>
      <c r="I83" s="35">
        <f>(F83*I$10)/$F$10</f>
        <v>6752.850329249999</v>
      </c>
      <c r="J83" s="35">
        <f>(F83*J$10)/$E$10</f>
        <v>45581.739722437494</v>
      </c>
      <c r="K83" s="35">
        <f t="shared" ref="K83:K109" si="13">F83*K$10</f>
        <v>607756.52963249991</v>
      </c>
    </row>
    <row r="84" spans="1:11" ht="12" customHeight="1" x14ac:dyDescent="0.3">
      <c r="A84" s="4"/>
      <c r="B84" s="37">
        <v>2002</v>
      </c>
      <c r="C84" s="46">
        <v>46.59</v>
      </c>
      <c r="D84" s="33">
        <v>108.9</v>
      </c>
      <c r="E84" s="34">
        <v>1</v>
      </c>
      <c r="F84" s="35">
        <v>768027.57744000002</v>
      </c>
      <c r="G84" s="38"/>
      <c r="H84" s="35">
        <f t="shared" si="12"/>
        <v>115204.136616</v>
      </c>
      <c r="I84" s="35">
        <f t="shared" ref="I84:I91" si="14">(F84*I$10)/$F$10</f>
        <v>4266.8198746666667</v>
      </c>
      <c r="J84" s="35">
        <f t="shared" ref="J84:J109" si="15">(F84*J$10)/$E$10</f>
        <v>28801.034154000001</v>
      </c>
      <c r="K84" s="35">
        <f t="shared" si="13"/>
        <v>384013.78872000001</v>
      </c>
    </row>
    <row r="85" spans="1:11" ht="12" customHeight="1" x14ac:dyDescent="0.3">
      <c r="A85" s="4"/>
      <c r="B85" s="88">
        <v>2003</v>
      </c>
      <c r="C85" s="46">
        <v>46.59</v>
      </c>
      <c r="D85" s="33">
        <v>108.9</v>
      </c>
      <c r="E85" s="34">
        <v>1</v>
      </c>
      <c r="F85" s="35">
        <v>768027.57744000002</v>
      </c>
      <c r="G85" s="38"/>
      <c r="H85" s="35">
        <f t="shared" si="12"/>
        <v>115204.136616</v>
      </c>
      <c r="I85" s="35">
        <f t="shared" si="14"/>
        <v>4266.8198746666667</v>
      </c>
      <c r="J85" s="35">
        <f t="shared" si="15"/>
        <v>28801.034154000001</v>
      </c>
      <c r="K85" s="35">
        <f t="shared" si="13"/>
        <v>384013.78872000001</v>
      </c>
    </row>
    <row r="86" spans="1:11" ht="12" customHeight="1" x14ac:dyDescent="0.3">
      <c r="A86" s="4"/>
      <c r="B86" s="88">
        <v>2004</v>
      </c>
      <c r="C86" s="46">
        <v>87.39</v>
      </c>
      <c r="D86" s="33">
        <v>209.26</v>
      </c>
      <c r="E86" s="34">
        <v>2</v>
      </c>
      <c r="F86" s="35">
        <v>1215513.0592649998</v>
      </c>
      <c r="G86" s="38"/>
      <c r="H86" s="35">
        <f t="shared" si="12"/>
        <v>182326.95888974998</v>
      </c>
      <c r="I86" s="35">
        <f t="shared" si="14"/>
        <v>6752.850329249999</v>
      </c>
      <c r="J86" s="35">
        <f t="shared" si="15"/>
        <v>45581.739722437494</v>
      </c>
      <c r="K86" s="35">
        <f t="shared" si="13"/>
        <v>607756.52963249991</v>
      </c>
    </row>
    <row r="87" spans="1:11" ht="12" customHeight="1" x14ac:dyDescent="0.3">
      <c r="A87" s="4"/>
      <c r="B87" s="88">
        <v>2005</v>
      </c>
      <c r="C87" s="46">
        <v>86.57</v>
      </c>
      <c r="D87" s="33">
        <v>207.83</v>
      </c>
      <c r="E87" s="34">
        <v>2</v>
      </c>
      <c r="F87" s="35">
        <v>1216148.70346695</v>
      </c>
      <c r="G87" s="38"/>
      <c r="H87" s="35">
        <f t="shared" si="12"/>
        <v>182422.30552004249</v>
      </c>
      <c r="I87" s="35">
        <f t="shared" si="14"/>
        <v>6756.3816859275003</v>
      </c>
      <c r="J87" s="35">
        <f t="shared" si="15"/>
        <v>45605.576380010622</v>
      </c>
      <c r="K87" s="35">
        <f t="shared" si="13"/>
        <v>608074.35173347499</v>
      </c>
    </row>
    <row r="88" spans="1:11" ht="12" customHeight="1" x14ac:dyDescent="0.3">
      <c r="A88" s="4"/>
      <c r="B88" s="3">
        <v>2006</v>
      </c>
      <c r="C88" s="46">
        <v>45.79</v>
      </c>
      <c r="D88" s="33">
        <v>107.49</v>
      </c>
      <c r="E88" s="34">
        <v>1</v>
      </c>
      <c r="F88" s="35">
        <v>762388.12188640004</v>
      </c>
      <c r="G88" s="38"/>
      <c r="H88" s="35">
        <f t="shared" si="12"/>
        <v>114358.21828296001</v>
      </c>
      <c r="I88" s="35">
        <f t="shared" si="14"/>
        <v>4235.489566035556</v>
      </c>
      <c r="J88" s="35">
        <f t="shared" si="15"/>
        <v>28589.554570740002</v>
      </c>
      <c r="K88" s="35">
        <f t="shared" si="13"/>
        <v>381194.06094320002</v>
      </c>
    </row>
    <row r="89" spans="1:11" ht="12" customHeight="1" x14ac:dyDescent="0.3">
      <c r="A89" s="4"/>
      <c r="B89" s="3">
        <v>2007</v>
      </c>
      <c r="C89" s="46">
        <v>45.79</v>
      </c>
      <c r="D89" s="33">
        <v>107.49</v>
      </c>
      <c r="E89" s="34">
        <v>1</v>
      </c>
      <c r="F89" s="35">
        <v>762388.12188640004</v>
      </c>
      <c r="G89" s="36"/>
      <c r="H89" s="35">
        <f t="shared" si="12"/>
        <v>114358.21828296001</v>
      </c>
      <c r="I89" s="35">
        <f t="shared" si="14"/>
        <v>4235.489566035556</v>
      </c>
      <c r="J89" s="35">
        <f t="shared" si="15"/>
        <v>28589.554570740002</v>
      </c>
      <c r="K89" s="35">
        <f t="shared" si="13"/>
        <v>381194.06094320002</v>
      </c>
    </row>
    <row r="90" spans="1:11" ht="12" customHeight="1" x14ac:dyDescent="0.3">
      <c r="A90" s="4"/>
      <c r="B90" s="3">
        <v>2008</v>
      </c>
      <c r="C90" s="46">
        <v>46.59</v>
      </c>
      <c r="D90" s="33">
        <v>108.9</v>
      </c>
      <c r="E90" s="34">
        <v>1</v>
      </c>
      <c r="F90" s="35">
        <v>775707.85321440001</v>
      </c>
      <c r="G90" s="36"/>
      <c r="H90" s="35">
        <f t="shared" si="12"/>
        <v>116356.17798215999</v>
      </c>
      <c r="I90" s="35">
        <f t="shared" si="14"/>
        <v>4309.488073413334</v>
      </c>
      <c r="J90" s="35">
        <f t="shared" si="15"/>
        <v>29089.044495539998</v>
      </c>
      <c r="K90" s="35">
        <f t="shared" si="13"/>
        <v>387853.9266072</v>
      </c>
    </row>
    <row r="91" spans="1:11" ht="12" customHeight="1" x14ac:dyDescent="0.3">
      <c r="A91" s="4"/>
      <c r="B91" s="88">
        <v>2009</v>
      </c>
      <c r="C91" s="46">
        <v>87.39</v>
      </c>
      <c r="D91" s="33">
        <v>209.26</v>
      </c>
      <c r="E91" s="34">
        <v>2</v>
      </c>
      <c r="F91" s="35">
        <v>1227668.1898576498</v>
      </c>
      <c r="G91" s="38"/>
      <c r="H91" s="35">
        <f t="shared" si="12"/>
        <v>184150.22847864748</v>
      </c>
      <c r="I91" s="35">
        <f t="shared" si="14"/>
        <v>6820.3788325424994</v>
      </c>
      <c r="J91" s="35">
        <f t="shared" si="15"/>
        <v>46037.557119661869</v>
      </c>
      <c r="K91" s="35">
        <f t="shared" si="13"/>
        <v>613834.09492882492</v>
      </c>
    </row>
    <row r="92" spans="1:11" ht="12" customHeight="1" x14ac:dyDescent="0.3">
      <c r="A92" s="4"/>
      <c r="B92" s="97">
        <v>2101</v>
      </c>
      <c r="C92" s="57">
        <v>87.39</v>
      </c>
      <c r="D92" s="42">
        <v>209.26</v>
      </c>
      <c r="E92" s="43">
        <v>2</v>
      </c>
      <c r="F92" s="44">
        <v>1221590.6245613247</v>
      </c>
      <c r="G92" s="10"/>
      <c r="H92" s="44">
        <f t="shared" si="12"/>
        <v>183238.59368419871</v>
      </c>
      <c r="I92" s="44">
        <f>(F92*I$10)/$F$10</f>
        <v>6786.6145808962492</v>
      </c>
      <c r="J92" s="44">
        <f t="shared" si="15"/>
        <v>45809.648421049678</v>
      </c>
      <c r="K92" s="44">
        <f t="shared" si="13"/>
        <v>610795.31228066236</v>
      </c>
    </row>
    <row r="93" spans="1:11" ht="12" customHeight="1" x14ac:dyDescent="0.3">
      <c r="A93" s="4"/>
      <c r="B93" s="40">
        <v>2102</v>
      </c>
      <c r="C93" s="57">
        <v>46.59</v>
      </c>
      <c r="D93" s="42">
        <v>108.9</v>
      </c>
      <c r="E93" s="43">
        <v>1</v>
      </c>
      <c r="F93" s="44">
        <v>771867.7153271999</v>
      </c>
      <c r="G93" s="10"/>
      <c r="H93" s="44">
        <f t="shared" si="12"/>
        <v>115780.15729907998</v>
      </c>
      <c r="I93" s="44">
        <f t="shared" ref="I93:I100" si="16">(F93*I$10)/$F$10</f>
        <v>4288.1539740400003</v>
      </c>
      <c r="J93" s="44">
        <f t="shared" si="15"/>
        <v>28945.039324769994</v>
      </c>
      <c r="K93" s="44">
        <f t="shared" si="13"/>
        <v>385933.85766359995</v>
      </c>
    </row>
    <row r="94" spans="1:11" ht="12" customHeight="1" x14ac:dyDescent="0.3">
      <c r="A94" s="4"/>
      <c r="B94" s="55">
        <v>2103</v>
      </c>
      <c r="C94" s="57">
        <v>46.59</v>
      </c>
      <c r="D94" s="42">
        <v>108.9</v>
      </c>
      <c r="E94" s="43">
        <v>1</v>
      </c>
      <c r="F94" s="44">
        <v>771867.7153271999</v>
      </c>
      <c r="G94" s="10"/>
      <c r="H94" s="44">
        <f t="shared" si="12"/>
        <v>115780.15729907998</v>
      </c>
      <c r="I94" s="44">
        <f t="shared" si="16"/>
        <v>4288.1539740400003</v>
      </c>
      <c r="J94" s="44">
        <f t="shared" si="15"/>
        <v>28945.039324769994</v>
      </c>
      <c r="K94" s="44">
        <f t="shared" si="13"/>
        <v>385933.85766359995</v>
      </c>
    </row>
    <row r="95" spans="1:11" ht="12" customHeight="1" x14ac:dyDescent="0.3">
      <c r="A95" s="4"/>
      <c r="B95" s="40">
        <v>2104</v>
      </c>
      <c r="C95" s="57">
        <v>87.39</v>
      </c>
      <c r="D95" s="42">
        <v>209.26</v>
      </c>
      <c r="E95" s="43">
        <v>2</v>
      </c>
      <c r="F95" s="44">
        <v>1447811.1105911997</v>
      </c>
      <c r="G95" s="10"/>
      <c r="H95" s="44">
        <f t="shared" si="12"/>
        <v>217171.66658867995</v>
      </c>
      <c r="I95" s="44">
        <f t="shared" si="16"/>
        <v>8043.3950588399994</v>
      </c>
      <c r="J95" s="44">
        <f t="shared" si="15"/>
        <v>54292.916647169986</v>
      </c>
      <c r="K95" s="44">
        <f t="shared" si="13"/>
        <v>723905.55529559986</v>
      </c>
    </row>
    <row r="96" spans="1:11" ht="12" customHeight="1" x14ac:dyDescent="0.3">
      <c r="A96" s="4"/>
      <c r="B96" s="40">
        <v>2105</v>
      </c>
      <c r="C96" s="57">
        <v>86.57</v>
      </c>
      <c r="D96" s="42">
        <v>207.83</v>
      </c>
      <c r="E96" s="43">
        <v>2</v>
      </c>
      <c r="F96" s="44">
        <v>1222229.4469842846</v>
      </c>
      <c r="G96" s="10"/>
      <c r="H96" s="44">
        <f t="shared" si="12"/>
        <v>183334.41704764267</v>
      </c>
      <c r="I96" s="44">
        <f t="shared" si="16"/>
        <v>6790.1635943571364</v>
      </c>
      <c r="J96" s="44">
        <f t="shared" si="15"/>
        <v>45833.604261910667</v>
      </c>
      <c r="K96" s="44">
        <f t="shared" si="13"/>
        <v>611114.72349214228</v>
      </c>
    </row>
    <row r="97" spans="1:11" ht="12" customHeight="1" x14ac:dyDescent="0.3">
      <c r="A97" s="4"/>
      <c r="B97" s="40">
        <v>2106</v>
      </c>
      <c r="C97" s="57">
        <v>45.79</v>
      </c>
      <c r="D97" s="42">
        <v>107.49</v>
      </c>
      <c r="E97" s="43">
        <v>1</v>
      </c>
      <c r="F97" s="44">
        <v>766200.06249583198</v>
      </c>
      <c r="G97" s="10"/>
      <c r="H97" s="44">
        <f t="shared" si="12"/>
        <v>114930.0093743748</v>
      </c>
      <c r="I97" s="44">
        <f t="shared" si="16"/>
        <v>4256.6670138657328</v>
      </c>
      <c r="J97" s="44">
        <f t="shared" si="15"/>
        <v>28732.5023435937</v>
      </c>
      <c r="K97" s="44">
        <f t="shared" si="13"/>
        <v>383100.03124791599</v>
      </c>
    </row>
    <row r="98" spans="1:11" ht="12" customHeight="1" x14ac:dyDescent="0.3">
      <c r="A98" s="4"/>
      <c r="B98" s="40">
        <v>2107</v>
      </c>
      <c r="C98" s="57">
        <v>45.79</v>
      </c>
      <c r="D98" s="42">
        <v>107.49</v>
      </c>
      <c r="E98" s="43">
        <v>1</v>
      </c>
      <c r="F98" s="44">
        <v>766200.06249583198</v>
      </c>
      <c r="G98" s="10"/>
      <c r="H98" s="44">
        <f t="shared" si="12"/>
        <v>114930.0093743748</v>
      </c>
      <c r="I98" s="44">
        <f t="shared" si="16"/>
        <v>4256.6670138657328</v>
      </c>
      <c r="J98" s="44">
        <f t="shared" si="15"/>
        <v>28732.5023435937</v>
      </c>
      <c r="K98" s="44">
        <f t="shared" si="13"/>
        <v>383100.03124791599</v>
      </c>
    </row>
    <row r="99" spans="1:11" ht="12" customHeight="1" x14ac:dyDescent="0.3">
      <c r="A99" s="4"/>
      <c r="B99" s="40">
        <v>2108</v>
      </c>
      <c r="C99" s="57">
        <v>46.59</v>
      </c>
      <c r="D99" s="42">
        <v>108.9</v>
      </c>
      <c r="E99" s="43">
        <v>1</v>
      </c>
      <c r="F99" s="44">
        <v>779586.39248047187</v>
      </c>
      <c r="G99" s="45"/>
      <c r="H99" s="44">
        <f t="shared" si="12"/>
        <v>116937.95887207078</v>
      </c>
      <c r="I99" s="44">
        <f t="shared" si="16"/>
        <v>4331.035513780399</v>
      </c>
      <c r="J99" s="44">
        <f t="shared" si="15"/>
        <v>29234.489718017696</v>
      </c>
      <c r="K99" s="44">
        <f t="shared" si="13"/>
        <v>389793.19624023593</v>
      </c>
    </row>
    <row r="100" spans="1:11" ht="12" customHeight="1" x14ac:dyDescent="0.3">
      <c r="A100" s="4"/>
      <c r="B100" s="58">
        <v>2109</v>
      </c>
      <c r="C100" s="57">
        <v>87.39</v>
      </c>
      <c r="D100" s="42">
        <v>209.26</v>
      </c>
      <c r="E100" s="43">
        <v>2</v>
      </c>
      <c r="F100" s="44">
        <v>1233806.530806938</v>
      </c>
      <c r="G100" s="45"/>
      <c r="H100" s="44">
        <f t="shared" si="12"/>
        <v>185070.97962104069</v>
      </c>
      <c r="I100" s="44">
        <f t="shared" si="16"/>
        <v>6854.4807267052111</v>
      </c>
      <c r="J100" s="44">
        <f t="shared" si="15"/>
        <v>46267.744905260173</v>
      </c>
      <c r="K100" s="44">
        <f t="shared" si="13"/>
        <v>616903.26540346898</v>
      </c>
    </row>
    <row r="101" spans="1:11" ht="12" customHeight="1" x14ac:dyDescent="0.3">
      <c r="A101" s="4"/>
      <c r="B101" s="37">
        <v>2201</v>
      </c>
      <c r="C101" s="46">
        <v>87.39</v>
      </c>
      <c r="D101" s="33">
        <v>209.26</v>
      </c>
      <c r="E101" s="34">
        <v>2</v>
      </c>
      <c r="F101" s="35">
        <v>1227698.5776841312</v>
      </c>
      <c r="G101" s="36"/>
      <c r="H101" s="35">
        <f t="shared" si="12"/>
        <v>184154.78665261969</v>
      </c>
      <c r="I101" s="35">
        <f>(F101*I$10)/$F$10</f>
        <v>6820.5476538007297</v>
      </c>
      <c r="J101" s="35">
        <f t="shared" si="15"/>
        <v>46038.696663154922</v>
      </c>
      <c r="K101" s="35">
        <f t="shared" si="13"/>
        <v>613849.28884206561</v>
      </c>
    </row>
    <row r="102" spans="1:11" ht="12" customHeight="1" x14ac:dyDescent="0.3">
      <c r="A102" s="4"/>
      <c r="B102" s="37">
        <v>2202</v>
      </c>
      <c r="C102" s="46">
        <v>46.59</v>
      </c>
      <c r="D102" s="33">
        <v>108.9</v>
      </c>
      <c r="E102" s="34">
        <v>1</v>
      </c>
      <c r="F102" s="35">
        <v>775727.05390383583</v>
      </c>
      <c r="G102" s="36"/>
      <c r="H102" s="35">
        <f t="shared" si="12"/>
        <v>116359.05808557537</v>
      </c>
      <c r="I102" s="35">
        <f t="shared" ref="I102:I109" si="17">(F102*I$10)/$F$10</f>
        <v>4309.5947439101992</v>
      </c>
      <c r="J102" s="35">
        <f t="shared" si="15"/>
        <v>29089.764521393841</v>
      </c>
      <c r="K102" s="35">
        <f t="shared" si="13"/>
        <v>387863.52695191791</v>
      </c>
    </row>
    <row r="103" spans="1:11" ht="12" customHeight="1" x14ac:dyDescent="0.3">
      <c r="A103" s="4"/>
      <c r="B103" s="37">
        <v>2203</v>
      </c>
      <c r="C103" s="46">
        <v>46.59</v>
      </c>
      <c r="D103" s="33">
        <v>108.9</v>
      </c>
      <c r="E103" s="34">
        <v>1</v>
      </c>
      <c r="F103" s="35">
        <v>775727.05390383583</v>
      </c>
      <c r="G103" s="38"/>
      <c r="H103" s="35">
        <f t="shared" si="12"/>
        <v>116359.05808557537</v>
      </c>
      <c r="I103" s="35">
        <f t="shared" si="17"/>
        <v>4309.5947439101992</v>
      </c>
      <c r="J103" s="35">
        <f t="shared" si="15"/>
        <v>29089.764521393841</v>
      </c>
      <c r="K103" s="35">
        <f t="shared" si="13"/>
        <v>387863.52695191791</v>
      </c>
    </row>
    <row r="104" spans="1:11" ht="12" customHeight="1" x14ac:dyDescent="0.3">
      <c r="A104" s="4"/>
      <c r="B104" s="37">
        <v>2204</v>
      </c>
      <c r="C104" s="46">
        <v>87.39</v>
      </c>
      <c r="D104" s="33">
        <v>209.26</v>
      </c>
      <c r="E104" s="34">
        <v>2</v>
      </c>
      <c r="F104" s="35">
        <v>1227698.5776841312</v>
      </c>
      <c r="G104" s="38"/>
      <c r="H104" s="35">
        <f t="shared" si="12"/>
        <v>184154.78665261969</v>
      </c>
      <c r="I104" s="35">
        <f t="shared" si="17"/>
        <v>6820.5476538007297</v>
      </c>
      <c r="J104" s="35">
        <f t="shared" si="15"/>
        <v>46038.696663154922</v>
      </c>
      <c r="K104" s="35">
        <f t="shared" si="13"/>
        <v>613849.28884206561</v>
      </c>
    </row>
    <row r="105" spans="1:11" ht="12" customHeight="1" x14ac:dyDescent="0.3">
      <c r="A105" s="4"/>
      <c r="B105" s="37">
        <v>2205</v>
      </c>
      <c r="C105" s="46">
        <v>86.57</v>
      </c>
      <c r="D105" s="33">
        <v>207.83</v>
      </c>
      <c r="E105" s="34">
        <v>2</v>
      </c>
      <c r="F105" s="35">
        <v>1228340.5942192059</v>
      </c>
      <c r="G105" s="38"/>
      <c r="H105" s="35">
        <f t="shared" si="12"/>
        <v>184251.08913288088</v>
      </c>
      <c r="I105" s="35">
        <f t="shared" si="17"/>
        <v>6824.1144123289223</v>
      </c>
      <c r="J105" s="35">
        <f t="shared" si="15"/>
        <v>46062.77228322022</v>
      </c>
      <c r="K105" s="35">
        <f t="shared" si="13"/>
        <v>614170.29710960295</v>
      </c>
    </row>
    <row r="106" spans="1:11" ht="12" customHeight="1" x14ac:dyDescent="0.3">
      <c r="A106" s="4"/>
      <c r="B106" s="37">
        <v>2206</v>
      </c>
      <c r="C106" s="46">
        <v>45.79</v>
      </c>
      <c r="D106" s="33">
        <v>107.49</v>
      </c>
      <c r="E106" s="34">
        <v>1</v>
      </c>
      <c r="F106" s="35">
        <v>770031.06280831108</v>
      </c>
      <c r="G106" s="38"/>
      <c r="H106" s="35">
        <f t="shared" si="12"/>
        <v>115504.65942124666</v>
      </c>
      <c r="I106" s="35">
        <f t="shared" si="17"/>
        <v>4277.9503489350618</v>
      </c>
      <c r="J106" s="35">
        <f t="shared" si="15"/>
        <v>28876.164855311665</v>
      </c>
      <c r="K106" s="35">
        <f t="shared" si="13"/>
        <v>385015.53140415554</v>
      </c>
    </row>
    <row r="107" spans="1:11" ht="12" customHeight="1" x14ac:dyDescent="0.3">
      <c r="A107" s="4"/>
      <c r="B107" s="37">
        <v>2207</v>
      </c>
      <c r="C107" s="46">
        <v>45.79</v>
      </c>
      <c r="D107" s="33">
        <v>107.49</v>
      </c>
      <c r="E107" s="34">
        <v>1</v>
      </c>
      <c r="F107" s="35">
        <v>770031.06280831108</v>
      </c>
      <c r="G107" s="38"/>
      <c r="H107" s="35">
        <f t="shared" si="12"/>
        <v>115504.65942124666</v>
      </c>
      <c r="I107" s="35">
        <f t="shared" si="17"/>
        <v>4277.9503489350618</v>
      </c>
      <c r="J107" s="35">
        <f t="shared" si="15"/>
        <v>28876.164855311665</v>
      </c>
      <c r="K107" s="35">
        <f t="shared" si="13"/>
        <v>385015.53140415554</v>
      </c>
    </row>
    <row r="108" spans="1:11" ht="12" customHeight="1" x14ac:dyDescent="0.3">
      <c r="A108" s="4"/>
      <c r="B108" s="37">
        <v>2208</v>
      </c>
      <c r="C108" s="46">
        <v>46.59</v>
      </c>
      <c r="D108" s="33">
        <v>108.9</v>
      </c>
      <c r="E108" s="34">
        <v>1</v>
      </c>
      <c r="F108" s="35">
        <v>783484.32444287417</v>
      </c>
      <c r="G108" s="38"/>
      <c r="H108" s="35">
        <f t="shared" si="12"/>
        <v>117522.64866643112</v>
      </c>
      <c r="I108" s="35">
        <f t="shared" si="17"/>
        <v>4352.6906913493012</v>
      </c>
      <c r="J108" s="35">
        <f t="shared" si="15"/>
        <v>29380.662166607781</v>
      </c>
      <c r="K108" s="35">
        <f t="shared" si="13"/>
        <v>391742.16222143709</v>
      </c>
    </row>
    <row r="109" spans="1:11" ht="12" customHeight="1" x14ac:dyDescent="0.3">
      <c r="A109" s="4"/>
      <c r="B109" s="39">
        <v>2209</v>
      </c>
      <c r="C109" s="46">
        <v>87.39</v>
      </c>
      <c r="D109" s="33">
        <v>209.26</v>
      </c>
      <c r="E109" s="34">
        <v>2</v>
      </c>
      <c r="F109" s="35">
        <v>1239975.5634609726</v>
      </c>
      <c r="G109" s="38"/>
      <c r="H109" s="35">
        <f t="shared" si="12"/>
        <v>185996.33451914589</v>
      </c>
      <c r="I109" s="35">
        <f t="shared" si="17"/>
        <v>6888.7531303387368</v>
      </c>
      <c r="J109" s="35">
        <f t="shared" si="15"/>
        <v>46499.083629786473</v>
      </c>
      <c r="K109" s="35">
        <f t="shared" si="13"/>
        <v>619987.78173048631</v>
      </c>
    </row>
    <row r="110" spans="1:11" ht="12.6" customHeight="1" thickBot="1" x14ac:dyDescent="0.35">
      <c r="A110" s="4"/>
      <c r="B110" s="59"/>
      <c r="C110" s="6"/>
      <c r="D110" s="7"/>
      <c r="E110" s="5"/>
      <c r="F110" s="11"/>
      <c r="G110" s="10"/>
      <c r="H110" s="11"/>
      <c r="I110" s="11"/>
      <c r="J110" s="11"/>
      <c r="K110" s="11"/>
    </row>
    <row r="111" spans="1:11" ht="15" thickTop="1" x14ac:dyDescent="0.3">
      <c r="A111" s="4"/>
      <c r="B111" s="12" t="s">
        <v>13</v>
      </c>
      <c r="C111" s="13"/>
      <c r="D111" s="14"/>
      <c r="E111" s="14"/>
      <c r="F111" s="14"/>
      <c r="G111" s="14"/>
      <c r="H111" s="14"/>
      <c r="I111" s="14"/>
      <c r="J111" s="84" t="str">
        <f>J3</f>
        <v>Tabela de Vendas – Vigência: 31/05/2026.</v>
      </c>
      <c r="K111" s="85"/>
    </row>
    <row r="112" spans="1:11" ht="15" thickBot="1" x14ac:dyDescent="0.35">
      <c r="A112" s="4"/>
      <c r="B112" s="15" t="s">
        <v>1</v>
      </c>
      <c r="C112" s="16"/>
      <c r="D112" s="17"/>
      <c r="E112" s="17"/>
      <c r="F112" s="17"/>
      <c r="G112" s="17"/>
      <c r="H112" s="17"/>
      <c r="I112" s="17"/>
      <c r="J112" s="86"/>
      <c r="K112" s="87"/>
    </row>
    <row r="113" spans="1:11" ht="3.6" customHeight="1" thickTop="1" thickBot="1" x14ac:dyDescent="0.35">
      <c r="A113" s="4"/>
      <c r="B113" s="18"/>
      <c r="C113" s="19"/>
      <c r="D113" s="20"/>
      <c r="E113" s="20"/>
      <c r="F113" s="20"/>
      <c r="G113" s="20"/>
      <c r="H113" s="20"/>
      <c r="I113" s="20"/>
      <c r="J113" s="20"/>
      <c r="K113" s="21"/>
    </row>
    <row r="114" spans="1:11" ht="15.6" thickTop="1" thickBot="1" x14ac:dyDescent="0.35">
      <c r="A114" s="4"/>
      <c r="B114" s="80" t="s">
        <v>2</v>
      </c>
      <c r="C114" s="81"/>
      <c r="D114" s="81"/>
      <c r="E114" s="81"/>
      <c r="F114" s="81"/>
      <c r="G114" s="81"/>
      <c r="H114" s="81"/>
      <c r="I114" s="81"/>
      <c r="J114" s="81"/>
      <c r="K114" s="82"/>
    </row>
    <row r="115" spans="1:11" ht="3.6" customHeight="1" thickTop="1" thickBot="1" x14ac:dyDescent="0.35">
      <c r="A115" s="4"/>
      <c r="B115" s="22"/>
      <c r="C115" s="23"/>
      <c r="D115" s="24"/>
      <c r="E115" s="22"/>
      <c r="F115" s="24"/>
      <c r="G115" s="24"/>
      <c r="H115" s="24"/>
      <c r="I115" s="25"/>
      <c r="J115" s="25"/>
      <c r="K115" s="25"/>
    </row>
    <row r="116" spans="1:11" ht="15.6" thickTop="1" thickBot="1" x14ac:dyDescent="0.35">
      <c r="A116" s="4"/>
      <c r="B116" s="73" t="s">
        <v>3</v>
      </c>
      <c r="C116" s="83" t="s">
        <v>4</v>
      </c>
      <c r="D116" s="73" t="s">
        <v>5</v>
      </c>
      <c r="E116" s="73" t="s">
        <v>6</v>
      </c>
      <c r="F116" s="73" t="s">
        <v>7</v>
      </c>
      <c r="G116" s="5"/>
      <c r="H116" s="73" t="s">
        <v>8</v>
      </c>
      <c r="I116" s="75" t="s">
        <v>9</v>
      </c>
      <c r="J116" s="75"/>
      <c r="K116" s="75"/>
    </row>
    <row r="117" spans="1:11" ht="25.2" thickTop="1" thickBot="1" x14ac:dyDescent="0.35">
      <c r="A117" s="4"/>
      <c r="B117" s="73"/>
      <c r="C117" s="83"/>
      <c r="D117" s="73"/>
      <c r="E117" s="73"/>
      <c r="F117" s="73"/>
      <c r="G117" s="5"/>
      <c r="H117" s="73"/>
      <c r="I117" s="61" t="s">
        <v>10</v>
      </c>
      <c r="J117" s="61" t="s">
        <v>14</v>
      </c>
      <c r="K117" s="61" t="s">
        <v>12</v>
      </c>
    </row>
    <row r="118" spans="1:11" ht="12" customHeight="1" thickTop="1" x14ac:dyDescent="0.3">
      <c r="A118" s="4"/>
      <c r="B118" s="26"/>
      <c r="C118" s="48"/>
      <c r="D118" s="49"/>
      <c r="E118" s="50"/>
      <c r="F118" s="51"/>
      <c r="G118" s="45"/>
      <c r="H118" s="52"/>
      <c r="I118" s="52"/>
      <c r="J118" s="52"/>
      <c r="K118" s="53"/>
    </row>
    <row r="119" spans="1:11" ht="12" customHeight="1" x14ac:dyDescent="0.3">
      <c r="A119" s="4"/>
      <c r="B119" s="54">
        <v>2301</v>
      </c>
      <c r="C119" s="41">
        <v>87.39</v>
      </c>
      <c r="D119" s="42">
        <v>209.26</v>
      </c>
      <c r="E119" s="43">
        <v>2</v>
      </c>
      <c r="F119" s="44">
        <v>1233837.0705725518</v>
      </c>
      <c r="G119" s="10"/>
      <c r="H119" s="44">
        <f t="shared" ref="H119:H145" si="18">F119*H$10</f>
        <v>185075.56058588278</v>
      </c>
      <c r="I119" s="44">
        <f>(F119*I$10)/$F$10</f>
        <v>6854.6503920697323</v>
      </c>
      <c r="J119" s="44">
        <f>(F119*J$10)/$E$10</f>
        <v>46268.890146470694</v>
      </c>
      <c r="K119" s="44">
        <f t="shared" ref="K119:K145" si="19">F119*K$10</f>
        <v>616918.5352862759</v>
      </c>
    </row>
    <row r="120" spans="1:11" ht="12" customHeight="1" x14ac:dyDescent="0.3">
      <c r="A120" s="4"/>
      <c r="B120" s="91">
        <v>2302</v>
      </c>
      <c r="C120" s="60">
        <v>46.59</v>
      </c>
      <c r="D120" s="42">
        <v>108.9</v>
      </c>
      <c r="E120" s="43">
        <v>1</v>
      </c>
      <c r="F120" s="44">
        <v>779605.68917335488</v>
      </c>
      <c r="G120" s="10"/>
      <c r="H120" s="44">
        <f t="shared" si="18"/>
        <v>116940.85337600323</v>
      </c>
      <c r="I120" s="44">
        <f t="shared" ref="I120:I127" si="20">(F120*I$10)/$F$10</f>
        <v>4331.1427176297493</v>
      </c>
      <c r="J120" s="44">
        <f t="shared" ref="J120:J127" si="21">(F120*J$10)/$E$10</f>
        <v>29235.213344000807</v>
      </c>
      <c r="K120" s="44">
        <f t="shared" si="19"/>
        <v>389802.84458667744</v>
      </c>
    </row>
    <row r="121" spans="1:11" ht="12" customHeight="1" x14ac:dyDescent="0.3">
      <c r="A121" s="4"/>
      <c r="B121" s="91">
        <v>2303</v>
      </c>
      <c r="C121" s="41">
        <v>46.59</v>
      </c>
      <c r="D121" s="42">
        <v>108.9</v>
      </c>
      <c r="E121" s="43">
        <v>1</v>
      </c>
      <c r="F121" s="44">
        <v>779605.68917335488</v>
      </c>
      <c r="G121" s="10"/>
      <c r="H121" s="44">
        <f t="shared" si="18"/>
        <v>116940.85337600323</v>
      </c>
      <c r="I121" s="44">
        <f t="shared" si="20"/>
        <v>4331.1427176297493</v>
      </c>
      <c r="J121" s="44">
        <f t="shared" si="21"/>
        <v>29235.213344000807</v>
      </c>
      <c r="K121" s="44">
        <f t="shared" si="19"/>
        <v>389802.84458667744</v>
      </c>
    </row>
    <row r="122" spans="1:11" ht="12" customHeight="1" x14ac:dyDescent="0.3">
      <c r="A122" s="4"/>
      <c r="B122" s="91">
        <v>2304</v>
      </c>
      <c r="C122" s="41">
        <v>87.39</v>
      </c>
      <c r="D122" s="42">
        <v>209.26</v>
      </c>
      <c r="E122" s="43">
        <v>2</v>
      </c>
      <c r="F122" s="44">
        <v>1233837.0705725518</v>
      </c>
      <c r="G122" s="10"/>
      <c r="H122" s="44">
        <f t="shared" si="18"/>
        <v>185075.56058588278</v>
      </c>
      <c r="I122" s="44">
        <f t="shared" si="20"/>
        <v>6854.6503920697323</v>
      </c>
      <c r="J122" s="44">
        <f t="shared" si="21"/>
        <v>46268.890146470694</v>
      </c>
      <c r="K122" s="44">
        <f t="shared" si="19"/>
        <v>616918.5352862759</v>
      </c>
    </row>
    <row r="123" spans="1:11" ht="12" customHeight="1" x14ac:dyDescent="0.3">
      <c r="A123" s="4"/>
      <c r="B123" s="91">
        <v>2305</v>
      </c>
      <c r="C123" s="41">
        <v>86.57</v>
      </c>
      <c r="D123" s="42">
        <v>207.83</v>
      </c>
      <c r="E123" s="43">
        <v>2</v>
      </c>
      <c r="F123" s="44">
        <v>1234482.2971903018</v>
      </c>
      <c r="G123" s="10"/>
      <c r="H123" s="44">
        <f t="shared" si="18"/>
        <v>185172.34457854528</v>
      </c>
      <c r="I123" s="44">
        <f t="shared" si="20"/>
        <v>6858.2349843905658</v>
      </c>
      <c r="J123" s="44">
        <f t="shared" si="21"/>
        <v>46293.08614463632</v>
      </c>
      <c r="K123" s="44">
        <f t="shared" si="19"/>
        <v>617241.14859515091</v>
      </c>
    </row>
    <row r="124" spans="1:11" ht="12" customHeight="1" x14ac:dyDescent="0.3">
      <c r="A124" s="4"/>
      <c r="B124" s="91">
        <v>2306</v>
      </c>
      <c r="C124" s="41">
        <v>45.79</v>
      </c>
      <c r="D124" s="42">
        <v>107.49</v>
      </c>
      <c r="E124" s="43">
        <v>1</v>
      </c>
      <c r="F124" s="44">
        <v>773881.2181223525</v>
      </c>
      <c r="G124" s="10"/>
      <c r="H124" s="44">
        <f t="shared" si="18"/>
        <v>116082.18271835287</v>
      </c>
      <c r="I124" s="44">
        <f t="shared" si="20"/>
        <v>4299.3401006797367</v>
      </c>
      <c r="J124" s="44">
        <f t="shared" si="21"/>
        <v>29020.545679588216</v>
      </c>
      <c r="K124" s="44">
        <f t="shared" si="19"/>
        <v>386940.60906117625</v>
      </c>
    </row>
    <row r="125" spans="1:11" ht="12" customHeight="1" x14ac:dyDescent="0.3">
      <c r="A125" s="4"/>
      <c r="B125" s="91">
        <v>2307</v>
      </c>
      <c r="C125" s="41">
        <v>45.79</v>
      </c>
      <c r="D125" s="42">
        <v>107.49</v>
      </c>
      <c r="E125" s="43">
        <v>1</v>
      </c>
      <c r="F125" s="44">
        <v>773881.2181223525</v>
      </c>
      <c r="G125" s="10"/>
      <c r="H125" s="44">
        <f t="shared" si="18"/>
        <v>116082.18271835287</v>
      </c>
      <c r="I125" s="44">
        <f t="shared" si="20"/>
        <v>4299.3401006797367</v>
      </c>
      <c r="J125" s="44">
        <f t="shared" si="21"/>
        <v>29020.545679588216</v>
      </c>
      <c r="K125" s="44">
        <f t="shared" si="19"/>
        <v>386940.60906117625</v>
      </c>
    </row>
    <row r="126" spans="1:11" ht="12" customHeight="1" x14ac:dyDescent="0.3">
      <c r="A126" s="4"/>
      <c r="B126" s="91">
        <v>2308</v>
      </c>
      <c r="C126" s="41">
        <v>46.59</v>
      </c>
      <c r="D126" s="42">
        <v>108.9</v>
      </c>
      <c r="E126" s="43">
        <v>1</v>
      </c>
      <c r="F126" s="44">
        <v>787401.74606508843</v>
      </c>
      <c r="G126" s="10"/>
      <c r="H126" s="44">
        <f t="shared" si="18"/>
        <v>118110.26190976326</v>
      </c>
      <c r="I126" s="44">
        <f t="shared" si="20"/>
        <v>4374.4541448060472</v>
      </c>
      <c r="J126" s="44">
        <f t="shared" si="21"/>
        <v>29527.565477440814</v>
      </c>
      <c r="K126" s="44">
        <f t="shared" si="19"/>
        <v>393700.87303254422</v>
      </c>
    </row>
    <row r="127" spans="1:11" ht="12" customHeight="1" x14ac:dyDescent="0.3">
      <c r="A127" s="4"/>
      <c r="B127" s="91">
        <v>2309</v>
      </c>
      <c r="C127" s="41">
        <v>87.39</v>
      </c>
      <c r="D127" s="42">
        <v>209.26</v>
      </c>
      <c r="E127" s="43">
        <v>2</v>
      </c>
      <c r="F127" s="44">
        <v>1246175.4412782774</v>
      </c>
      <c r="G127" s="10"/>
      <c r="H127" s="44">
        <f t="shared" si="18"/>
        <v>186926.31619174161</v>
      </c>
      <c r="I127" s="44">
        <f t="shared" si="20"/>
        <v>6923.1968959904298</v>
      </c>
      <c r="J127" s="44">
        <f t="shared" si="21"/>
        <v>46731.579047935404</v>
      </c>
      <c r="K127" s="44">
        <f t="shared" si="19"/>
        <v>623087.72063913872</v>
      </c>
    </row>
    <row r="128" spans="1:11" ht="12" customHeight="1" x14ac:dyDescent="0.3">
      <c r="A128" s="4"/>
      <c r="B128" s="92">
        <v>2401</v>
      </c>
      <c r="C128" s="32">
        <v>87.39</v>
      </c>
      <c r="D128" s="33">
        <v>209.26</v>
      </c>
      <c r="E128" s="34">
        <v>2</v>
      </c>
      <c r="F128" s="35">
        <v>1233837.0705725518</v>
      </c>
      <c r="G128" s="36"/>
      <c r="H128" s="35">
        <f t="shared" si="18"/>
        <v>185075.56058588278</v>
      </c>
      <c r="I128" s="35">
        <f>(F128*I$10)/$F$10</f>
        <v>6854.6503920697323</v>
      </c>
      <c r="J128" s="35">
        <f>(F128*J$10)/$E$10</f>
        <v>46268.890146470694</v>
      </c>
      <c r="K128" s="35">
        <f t="shared" si="19"/>
        <v>616918.5352862759</v>
      </c>
    </row>
    <row r="129" spans="1:11" ht="12" customHeight="1" x14ac:dyDescent="0.3">
      <c r="A129" s="4"/>
      <c r="B129" s="88">
        <v>2402</v>
      </c>
      <c r="C129" s="32">
        <v>46.59</v>
      </c>
      <c r="D129" s="33">
        <v>108.9</v>
      </c>
      <c r="E129" s="34">
        <v>1</v>
      </c>
      <c r="F129" s="35">
        <v>779605.68917335488</v>
      </c>
      <c r="G129" s="36"/>
      <c r="H129" s="35">
        <f t="shared" si="18"/>
        <v>116940.85337600323</v>
      </c>
      <c r="I129" s="35">
        <f t="shared" ref="I129:I136" si="22">(F129*I$10)/$F$10</f>
        <v>4331.1427176297493</v>
      </c>
      <c r="J129" s="35">
        <f t="shared" ref="J129:J136" si="23">(F129*J$10)/$E$10</f>
        <v>29235.213344000807</v>
      </c>
      <c r="K129" s="35">
        <f t="shared" si="19"/>
        <v>389802.84458667744</v>
      </c>
    </row>
    <row r="130" spans="1:11" ht="12" customHeight="1" x14ac:dyDescent="0.3">
      <c r="A130" s="4"/>
      <c r="B130" s="37">
        <v>2403</v>
      </c>
      <c r="C130" s="32">
        <v>46.59</v>
      </c>
      <c r="D130" s="33">
        <v>108.9</v>
      </c>
      <c r="E130" s="34">
        <v>1</v>
      </c>
      <c r="F130" s="35">
        <v>779605.68917335488</v>
      </c>
      <c r="G130" s="38"/>
      <c r="H130" s="35">
        <f t="shared" si="18"/>
        <v>116940.85337600323</v>
      </c>
      <c r="I130" s="35">
        <f t="shared" si="22"/>
        <v>4331.1427176297493</v>
      </c>
      <c r="J130" s="35">
        <f t="shared" si="23"/>
        <v>29235.213344000807</v>
      </c>
      <c r="K130" s="35">
        <f t="shared" si="19"/>
        <v>389802.84458667744</v>
      </c>
    </row>
    <row r="131" spans="1:11" ht="12" customHeight="1" x14ac:dyDescent="0.3">
      <c r="A131" s="4"/>
      <c r="B131" s="3">
        <v>2404</v>
      </c>
      <c r="C131" s="32">
        <v>87.39</v>
      </c>
      <c r="D131" s="33">
        <v>209.26</v>
      </c>
      <c r="E131" s="34">
        <v>2</v>
      </c>
      <c r="F131" s="35">
        <v>1233837.0705725518</v>
      </c>
      <c r="G131" s="38"/>
      <c r="H131" s="35">
        <f t="shared" si="18"/>
        <v>185075.56058588278</v>
      </c>
      <c r="I131" s="35">
        <f t="shared" si="22"/>
        <v>6854.6503920697323</v>
      </c>
      <c r="J131" s="35">
        <f t="shared" si="23"/>
        <v>46268.890146470694</v>
      </c>
      <c r="K131" s="35">
        <f t="shared" si="19"/>
        <v>616918.5352862759</v>
      </c>
    </row>
    <row r="132" spans="1:11" ht="12" customHeight="1" x14ac:dyDescent="0.3">
      <c r="A132" s="4"/>
      <c r="B132" s="37">
        <v>2405</v>
      </c>
      <c r="C132" s="32">
        <v>86.57</v>
      </c>
      <c r="D132" s="33">
        <v>207.83</v>
      </c>
      <c r="E132" s="34">
        <v>2</v>
      </c>
      <c r="F132" s="35">
        <v>1234482.2971903018</v>
      </c>
      <c r="G132" s="38"/>
      <c r="H132" s="35">
        <f t="shared" si="18"/>
        <v>185172.34457854528</v>
      </c>
      <c r="I132" s="35">
        <f t="shared" si="22"/>
        <v>6858.2349843905658</v>
      </c>
      <c r="J132" s="35">
        <f t="shared" si="23"/>
        <v>46293.08614463632</v>
      </c>
      <c r="K132" s="35">
        <f t="shared" si="19"/>
        <v>617241.14859515091</v>
      </c>
    </row>
    <row r="133" spans="1:11" ht="12" customHeight="1" x14ac:dyDescent="0.3">
      <c r="A133" s="4"/>
      <c r="B133" s="3">
        <v>2406</v>
      </c>
      <c r="C133" s="32">
        <v>45.79</v>
      </c>
      <c r="D133" s="33">
        <v>107.49</v>
      </c>
      <c r="E133" s="34">
        <v>1</v>
      </c>
      <c r="F133" s="35">
        <v>773881.2181223525</v>
      </c>
      <c r="G133" s="38"/>
      <c r="H133" s="35">
        <f t="shared" si="18"/>
        <v>116082.18271835287</v>
      </c>
      <c r="I133" s="35">
        <f t="shared" si="22"/>
        <v>4299.3401006797367</v>
      </c>
      <c r="J133" s="35">
        <f t="shared" si="23"/>
        <v>29020.545679588216</v>
      </c>
      <c r="K133" s="35">
        <f t="shared" si="19"/>
        <v>386940.60906117625</v>
      </c>
    </row>
    <row r="134" spans="1:11" ht="12" customHeight="1" x14ac:dyDescent="0.3">
      <c r="A134" s="4"/>
      <c r="B134" s="37">
        <v>2407</v>
      </c>
      <c r="C134" s="32">
        <v>45.79</v>
      </c>
      <c r="D134" s="33">
        <v>107.49</v>
      </c>
      <c r="E134" s="34">
        <v>1</v>
      </c>
      <c r="F134" s="35">
        <v>773881.2181223525</v>
      </c>
      <c r="G134" s="38"/>
      <c r="H134" s="35">
        <f t="shared" si="18"/>
        <v>116082.18271835287</v>
      </c>
      <c r="I134" s="35">
        <f t="shared" si="22"/>
        <v>4299.3401006797367</v>
      </c>
      <c r="J134" s="35">
        <f t="shared" si="23"/>
        <v>29020.545679588216</v>
      </c>
      <c r="K134" s="35">
        <f t="shared" si="19"/>
        <v>386940.60906117625</v>
      </c>
    </row>
    <row r="135" spans="1:11" ht="12" customHeight="1" x14ac:dyDescent="0.3">
      <c r="A135" s="4"/>
      <c r="B135" s="37">
        <v>2408</v>
      </c>
      <c r="C135" s="32">
        <v>46.59</v>
      </c>
      <c r="D135" s="33">
        <v>108.9</v>
      </c>
      <c r="E135" s="34">
        <v>1</v>
      </c>
      <c r="F135" s="35">
        <v>787401.74606508843</v>
      </c>
      <c r="G135" s="38"/>
      <c r="H135" s="35">
        <f t="shared" si="18"/>
        <v>118110.26190976326</v>
      </c>
      <c r="I135" s="35">
        <f t="shared" si="22"/>
        <v>4374.4541448060472</v>
      </c>
      <c r="J135" s="35">
        <f t="shared" si="23"/>
        <v>29527.565477440814</v>
      </c>
      <c r="K135" s="35">
        <f t="shared" si="19"/>
        <v>393700.87303254422</v>
      </c>
    </row>
    <row r="136" spans="1:11" ht="12" customHeight="1" x14ac:dyDescent="0.3">
      <c r="A136" s="4"/>
      <c r="B136" s="39">
        <v>2409</v>
      </c>
      <c r="C136" s="32">
        <v>87.39</v>
      </c>
      <c r="D136" s="33">
        <v>209.26</v>
      </c>
      <c r="E136" s="34">
        <v>2</v>
      </c>
      <c r="F136" s="35">
        <v>1246175.4412782774</v>
      </c>
      <c r="G136" s="38"/>
      <c r="H136" s="35">
        <f t="shared" si="18"/>
        <v>186926.31619174161</v>
      </c>
      <c r="I136" s="35">
        <f t="shared" si="22"/>
        <v>6923.1968959904298</v>
      </c>
      <c r="J136" s="35">
        <f t="shared" si="23"/>
        <v>46731.579047935404</v>
      </c>
      <c r="K136" s="35">
        <f t="shared" si="19"/>
        <v>623087.72063913872</v>
      </c>
    </row>
    <row r="137" spans="1:11" ht="12" customHeight="1" x14ac:dyDescent="0.3">
      <c r="A137" s="4"/>
      <c r="B137" s="54">
        <v>2501</v>
      </c>
      <c r="C137" s="41">
        <v>87.39</v>
      </c>
      <c r="D137" s="42">
        <v>209.26</v>
      </c>
      <c r="E137" s="43">
        <v>2</v>
      </c>
      <c r="F137" s="44">
        <v>1246175.4412782774</v>
      </c>
      <c r="G137" s="10"/>
      <c r="H137" s="44">
        <f t="shared" si="18"/>
        <v>186926.31619174161</v>
      </c>
      <c r="I137" s="44">
        <f>(F137*I$10)/$F$10</f>
        <v>6923.1968959904298</v>
      </c>
      <c r="J137" s="44">
        <f>(F137*J$10)/$E$10</f>
        <v>46731.579047935404</v>
      </c>
      <c r="K137" s="44">
        <f t="shared" si="19"/>
        <v>623087.72063913872</v>
      </c>
    </row>
    <row r="138" spans="1:11" ht="12" customHeight="1" x14ac:dyDescent="0.3">
      <c r="A138" s="4"/>
      <c r="B138" s="40">
        <v>2502</v>
      </c>
      <c r="C138" s="41">
        <v>46.59</v>
      </c>
      <c r="D138" s="42">
        <v>108.9</v>
      </c>
      <c r="E138" s="43">
        <v>1</v>
      </c>
      <c r="F138" s="44">
        <v>787401.74606508843</v>
      </c>
      <c r="G138" s="45"/>
      <c r="H138" s="44">
        <f t="shared" si="18"/>
        <v>118110.26190976326</v>
      </c>
      <c r="I138" s="44">
        <f t="shared" ref="I138:I145" si="24">(F138*I$10)/$F$10</f>
        <v>4374.4541448060472</v>
      </c>
      <c r="J138" s="44">
        <f t="shared" ref="J138:J145" si="25">(F138*J$10)/$E$10</f>
        <v>29527.565477440814</v>
      </c>
      <c r="K138" s="44">
        <f t="shared" si="19"/>
        <v>393700.87303254422</v>
      </c>
    </row>
    <row r="139" spans="1:11" ht="12" customHeight="1" x14ac:dyDescent="0.3">
      <c r="A139" s="4"/>
      <c r="B139" s="40">
        <v>2503</v>
      </c>
      <c r="C139" s="41">
        <v>46.59</v>
      </c>
      <c r="D139" s="42">
        <v>108.9</v>
      </c>
      <c r="E139" s="43">
        <v>1</v>
      </c>
      <c r="F139" s="44">
        <v>787401.74606508843</v>
      </c>
      <c r="G139" s="45"/>
      <c r="H139" s="44">
        <f t="shared" si="18"/>
        <v>118110.26190976326</v>
      </c>
      <c r="I139" s="44">
        <f t="shared" si="24"/>
        <v>4374.4541448060472</v>
      </c>
      <c r="J139" s="44">
        <f t="shared" si="25"/>
        <v>29527.565477440814</v>
      </c>
      <c r="K139" s="44">
        <f t="shared" si="19"/>
        <v>393700.87303254422</v>
      </c>
    </row>
    <row r="140" spans="1:11" ht="12" customHeight="1" x14ac:dyDescent="0.3">
      <c r="A140" s="4"/>
      <c r="B140" s="40">
        <v>2504</v>
      </c>
      <c r="C140" s="41">
        <v>87.39</v>
      </c>
      <c r="D140" s="42">
        <v>209.26</v>
      </c>
      <c r="E140" s="43">
        <v>2</v>
      </c>
      <c r="F140" s="44">
        <v>1246175.4412782774</v>
      </c>
      <c r="G140" s="45"/>
      <c r="H140" s="44">
        <f t="shared" si="18"/>
        <v>186926.31619174161</v>
      </c>
      <c r="I140" s="44">
        <f t="shared" si="24"/>
        <v>6923.1968959904298</v>
      </c>
      <c r="J140" s="44">
        <f t="shared" si="25"/>
        <v>46731.579047935404</v>
      </c>
      <c r="K140" s="44">
        <f t="shared" si="19"/>
        <v>623087.72063913872</v>
      </c>
    </row>
    <row r="141" spans="1:11" ht="12" customHeight="1" x14ac:dyDescent="0.3">
      <c r="A141" s="4"/>
      <c r="B141" s="40">
        <v>2505</v>
      </c>
      <c r="C141" s="41">
        <v>86.57</v>
      </c>
      <c r="D141" s="42">
        <v>207.83</v>
      </c>
      <c r="E141" s="43">
        <v>2</v>
      </c>
      <c r="F141" s="44">
        <v>1246827.1201622048</v>
      </c>
      <c r="G141" s="45"/>
      <c r="H141" s="44">
        <f t="shared" si="18"/>
        <v>187024.06802433071</v>
      </c>
      <c r="I141" s="44">
        <f t="shared" si="24"/>
        <v>6926.8173342344717</v>
      </c>
      <c r="J141" s="44">
        <f t="shared" si="25"/>
        <v>46756.017006082679</v>
      </c>
      <c r="K141" s="44">
        <f t="shared" si="19"/>
        <v>623413.56008110242</v>
      </c>
    </row>
    <row r="142" spans="1:11" ht="12" customHeight="1" x14ac:dyDescent="0.3">
      <c r="A142" s="4"/>
      <c r="B142" s="40">
        <v>2506</v>
      </c>
      <c r="C142" s="41">
        <v>45.79</v>
      </c>
      <c r="D142" s="42">
        <v>107.49</v>
      </c>
      <c r="E142" s="43">
        <v>1</v>
      </c>
      <c r="F142" s="44">
        <v>781620.03030357603</v>
      </c>
      <c r="G142" s="10"/>
      <c r="H142" s="44">
        <f t="shared" si="18"/>
        <v>117243.0045455364</v>
      </c>
      <c r="I142" s="44">
        <f t="shared" si="24"/>
        <v>4342.333501686534</v>
      </c>
      <c r="J142" s="44">
        <f t="shared" si="25"/>
        <v>29310.7511363841</v>
      </c>
      <c r="K142" s="44">
        <f t="shared" si="19"/>
        <v>390810.01515178801</v>
      </c>
    </row>
    <row r="143" spans="1:11" ht="12" customHeight="1" x14ac:dyDescent="0.3">
      <c r="A143" s="4"/>
      <c r="B143" s="40">
        <v>2507</v>
      </c>
      <c r="C143" s="41">
        <v>45.79</v>
      </c>
      <c r="D143" s="42">
        <v>107.49</v>
      </c>
      <c r="E143" s="43">
        <v>1</v>
      </c>
      <c r="F143" s="44">
        <v>781620.03030357603</v>
      </c>
      <c r="G143" s="10"/>
      <c r="H143" s="44">
        <f t="shared" si="18"/>
        <v>117243.0045455364</v>
      </c>
      <c r="I143" s="44">
        <f t="shared" si="24"/>
        <v>4342.333501686534</v>
      </c>
      <c r="J143" s="44">
        <f t="shared" si="25"/>
        <v>29310.7511363841</v>
      </c>
      <c r="K143" s="44">
        <f t="shared" si="19"/>
        <v>390810.01515178801</v>
      </c>
    </row>
    <row r="144" spans="1:11" ht="12" customHeight="1" x14ac:dyDescent="0.3">
      <c r="A144" s="4"/>
      <c r="B144" s="40">
        <v>2508</v>
      </c>
      <c r="C144" s="41">
        <v>46.59</v>
      </c>
      <c r="D144" s="42">
        <v>108.9</v>
      </c>
      <c r="E144" s="43">
        <v>1</v>
      </c>
      <c r="F144" s="44">
        <v>795275.76352573931</v>
      </c>
      <c r="G144" s="10"/>
      <c r="H144" s="44">
        <f t="shared" si="18"/>
        <v>119291.3645288609</v>
      </c>
      <c r="I144" s="44">
        <f t="shared" si="24"/>
        <v>4418.1986862541071</v>
      </c>
      <c r="J144" s="44">
        <f t="shared" si="25"/>
        <v>29822.841132215224</v>
      </c>
      <c r="K144" s="44">
        <f t="shared" si="19"/>
        <v>397637.88176286966</v>
      </c>
    </row>
    <row r="145" spans="1:13" ht="12" customHeight="1" x14ac:dyDescent="0.3">
      <c r="A145" s="4"/>
      <c r="B145" s="58">
        <v>2509</v>
      </c>
      <c r="C145" s="41">
        <v>87.39</v>
      </c>
      <c r="D145" s="42">
        <v>209.26</v>
      </c>
      <c r="E145" s="43">
        <v>2</v>
      </c>
      <c r="F145" s="44">
        <v>1258637.1956910603</v>
      </c>
      <c r="G145" s="10"/>
      <c r="H145" s="44">
        <f t="shared" si="18"/>
        <v>188795.57935365904</v>
      </c>
      <c r="I145" s="44">
        <f t="shared" si="24"/>
        <v>6992.4288649503351</v>
      </c>
      <c r="J145" s="44">
        <f t="shared" si="25"/>
        <v>47198.894838414759</v>
      </c>
      <c r="K145" s="44">
        <f t="shared" si="19"/>
        <v>629318.59784553014</v>
      </c>
    </row>
    <row r="146" spans="1:13" s="71" customFormat="1" x14ac:dyDescent="0.3">
      <c r="C146" s="93">
        <f>SUM(C119:C145,C83:C109,C47:C73,C11:C37,)</f>
        <v>7183.0400000000036</v>
      </c>
      <c r="D146" s="93">
        <f t="shared" ref="D146:K146" si="26">SUM(D119:D145,D83:D109,D47:D73,D11:D37,)</f>
        <v>16853.969999999994</v>
      </c>
      <c r="E146" s="93">
        <f t="shared" si="26"/>
        <v>156</v>
      </c>
      <c r="F146" s="94">
        <f t="shared" si="26"/>
        <v>105924972.36310101</v>
      </c>
      <c r="G146" s="94">
        <f t="shared" si="26"/>
        <v>0</v>
      </c>
      <c r="H146" s="94">
        <f t="shared" si="26"/>
        <v>15888745.854465155</v>
      </c>
      <c r="I146" s="94">
        <f>SUM(I119:I145,I83:I109,I47:I73,I11:I37,)*F10</f>
        <v>21184994.472620193</v>
      </c>
      <c r="J146" s="94">
        <f>SUM(J119:J145,J83:J109,J47:J73,J11:J37,)*E10</f>
        <v>15888745.854465155</v>
      </c>
      <c r="K146" s="94">
        <f t="shared" si="26"/>
        <v>52962486.181550503</v>
      </c>
      <c r="M146" s="72"/>
    </row>
    <row r="147" spans="1:13" s="71" customFormat="1" x14ac:dyDescent="0.3">
      <c r="C147" s="95"/>
      <c r="D147" s="95"/>
      <c r="E147" s="95"/>
      <c r="F147" s="94">
        <f>SUM(H146,I146,J146,K146)-F146</f>
        <v>0</v>
      </c>
      <c r="G147" s="95"/>
      <c r="H147" s="95"/>
      <c r="I147" s="95"/>
      <c r="J147" s="95"/>
      <c r="K147" s="95"/>
      <c r="M147" s="72"/>
    </row>
    <row r="148" spans="1:13" x14ac:dyDescent="0.3">
      <c r="C148" s="96"/>
      <c r="D148" s="96"/>
      <c r="E148" s="96"/>
      <c r="F148" s="96"/>
      <c r="G148" s="96"/>
      <c r="H148" s="96"/>
      <c r="I148" s="96"/>
      <c r="J148" s="96"/>
      <c r="K148" s="96"/>
    </row>
  </sheetData>
  <mergeCells count="36">
    <mergeCell ref="J111:K112"/>
    <mergeCell ref="B78:K78"/>
    <mergeCell ref="B80:B81"/>
    <mergeCell ref="C80:C81"/>
    <mergeCell ref="D80:D81"/>
    <mergeCell ref="E80:E81"/>
    <mergeCell ref="F80:F81"/>
    <mergeCell ref="B114:K114"/>
    <mergeCell ref="B116:B117"/>
    <mergeCell ref="C116:C117"/>
    <mergeCell ref="D116:D117"/>
    <mergeCell ref="E116:E117"/>
    <mergeCell ref="F116:F117"/>
    <mergeCell ref="H116:H117"/>
    <mergeCell ref="I116:K116"/>
    <mergeCell ref="J3:K4"/>
    <mergeCell ref="B42:K42"/>
    <mergeCell ref="B44:B45"/>
    <mergeCell ref="C44:C45"/>
    <mergeCell ref="D44:D45"/>
    <mergeCell ref="E44:E45"/>
    <mergeCell ref="F44:F45"/>
    <mergeCell ref="H44:H45"/>
    <mergeCell ref="I44:K44"/>
    <mergeCell ref="J39:K40"/>
    <mergeCell ref="B6:K6"/>
    <mergeCell ref="B8:B9"/>
    <mergeCell ref="C8:C9"/>
    <mergeCell ref="D8:D9"/>
    <mergeCell ref="E8:E9"/>
    <mergeCell ref="F8:F9"/>
    <mergeCell ref="H8:H9"/>
    <mergeCell ref="I8:K8"/>
    <mergeCell ref="H80:H81"/>
    <mergeCell ref="I80:K80"/>
    <mergeCell ref="J75:K76"/>
  </mergeCells>
  <pageMargins left="0.25" right="0.25" top="0.75" bottom="0.75" header="0.3" footer="0.3"/>
  <pageSetup paperSize="9" orientation="landscape" horizontalDpi="4294967293" r:id="rId1"/>
  <ignoredErrors>
    <ignoredError sqref="E146:F14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 Residencial 20.04.2026 </vt:lpstr>
      <vt:lpstr>'Tabela Residencial 20.04.2026 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cid lauro vale</dc:creator>
  <cp:keywords/>
  <dc:description/>
  <cp:lastModifiedBy>cid lauro vale</cp:lastModifiedBy>
  <cp:revision/>
  <dcterms:created xsi:type="dcterms:W3CDTF">2025-11-04T19:03:24Z</dcterms:created>
  <dcterms:modified xsi:type="dcterms:W3CDTF">2026-04-20T22:18:05Z</dcterms:modified>
  <cp:category/>
  <cp:contentStatus/>
</cp:coreProperties>
</file>