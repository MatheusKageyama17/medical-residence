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IÁRIO\"/>
    </mc:Choice>
  </mc:AlternateContent>
  <xr:revisionPtr revIDLastSave="0" documentId="13_ncr:1_{C619080D-F9D5-4C46-920C-E217605868FE}" xr6:coauthVersionLast="47" xr6:coauthVersionMax="47" xr10:uidLastSave="{00000000-0000-0000-0000-000000000000}"/>
  <bookViews>
    <workbookView xWindow="-108" yWindow="-108" windowWidth="23256" windowHeight="12456" xr2:uid="{43A16314-BA64-4D0A-B86E-51B1A67C2D5F}"/>
  </bookViews>
  <sheets>
    <sheet name="Tabela Medical 20.04.2026" sheetId="2" r:id="rId1"/>
  </sheets>
  <definedNames>
    <definedName name="_xlnm.Print_Area" localSheetId="0">'Tabela Medical 20.04.2026'!$B$2:$K$39,'Tabela Medical 20.04.2026'!$B$41:$K$78,'Tabela Medical 20.04.2026'!$B$80:$K$117,'Tabela Medical 20.04.2026'!$B$119:$K$156,'Tabela Medical 20.04.2026'!$B$158:$K$180,'Tabela Medical 20.04.2026'!$B$182:$J$214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8" i="2" l="1"/>
  <c r="B120" i="2"/>
  <c r="B119" i="2"/>
  <c r="B81" i="2"/>
  <c r="B80" i="2"/>
  <c r="B42" i="2"/>
  <c r="B41" i="2"/>
  <c r="F182" i="2"/>
  <c r="D181" i="2"/>
  <c r="E181" i="2"/>
  <c r="F181" i="2"/>
  <c r="G181" i="2"/>
  <c r="C181" i="2"/>
  <c r="J80" i="2"/>
  <c r="J41" i="2"/>
  <c r="K78" i="2"/>
  <c r="J78" i="2"/>
  <c r="I78" i="2"/>
  <c r="H78" i="2"/>
  <c r="K77" i="2"/>
  <c r="J77" i="2"/>
  <c r="I77" i="2"/>
  <c r="H77" i="2"/>
  <c r="K76" i="2"/>
  <c r="J76" i="2"/>
  <c r="I76" i="2"/>
  <c r="H76" i="2"/>
  <c r="K75" i="2"/>
  <c r="J75" i="2"/>
  <c r="I75" i="2"/>
  <c r="H75" i="2"/>
  <c r="K180" i="2"/>
  <c r="J180" i="2"/>
  <c r="I180" i="2"/>
  <c r="H180" i="2"/>
  <c r="K179" i="2"/>
  <c r="J179" i="2"/>
  <c r="I179" i="2"/>
  <c r="H179" i="2"/>
  <c r="K178" i="2"/>
  <c r="J178" i="2"/>
  <c r="I178" i="2"/>
  <c r="H178" i="2"/>
  <c r="K177" i="2"/>
  <c r="J177" i="2"/>
  <c r="I177" i="2"/>
  <c r="H177" i="2"/>
  <c r="K176" i="2"/>
  <c r="J176" i="2"/>
  <c r="I176" i="2"/>
  <c r="H176" i="2"/>
  <c r="K175" i="2"/>
  <c r="J175" i="2"/>
  <c r="I175" i="2"/>
  <c r="H175" i="2"/>
  <c r="K174" i="2"/>
  <c r="J174" i="2"/>
  <c r="I174" i="2"/>
  <c r="H174" i="2"/>
  <c r="K173" i="2"/>
  <c r="J173" i="2"/>
  <c r="I173" i="2"/>
  <c r="H173" i="2"/>
  <c r="K172" i="2"/>
  <c r="J172" i="2"/>
  <c r="I172" i="2"/>
  <c r="H172" i="2"/>
  <c r="K171" i="2"/>
  <c r="J171" i="2"/>
  <c r="I171" i="2"/>
  <c r="H171" i="2"/>
  <c r="K170" i="2"/>
  <c r="J170" i="2"/>
  <c r="I170" i="2"/>
  <c r="H170" i="2"/>
  <c r="K169" i="2"/>
  <c r="J169" i="2"/>
  <c r="I169" i="2"/>
  <c r="H169" i="2"/>
  <c r="K168" i="2"/>
  <c r="J168" i="2"/>
  <c r="I168" i="2"/>
  <c r="H168" i="2"/>
  <c r="K167" i="2"/>
  <c r="J167" i="2"/>
  <c r="I167" i="2"/>
  <c r="H167" i="2"/>
  <c r="K166" i="2"/>
  <c r="J166" i="2"/>
  <c r="I166" i="2"/>
  <c r="H166" i="2"/>
  <c r="K156" i="2"/>
  <c r="J156" i="2"/>
  <c r="I156" i="2"/>
  <c r="H156" i="2"/>
  <c r="K155" i="2"/>
  <c r="J155" i="2"/>
  <c r="I155" i="2"/>
  <c r="H155" i="2"/>
  <c r="K154" i="2"/>
  <c r="J154" i="2"/>
  <c r="I154" i="2"/>
  <c r="H154" i="2"/>
  <c r="K153" i="2"/>
  <c r="J153" i="2"/>
  <c r="I153" i="2"/>
  <c r="H153" i="2"/>
  <c r="K152" i="2"/>
  <c r="J152" i="2"/>
  <c r="I152" i="2"/>
  <c r="H152" i="2"/>
  <c r="K151" i="2"/>
  <c r="J151" i="2"/>
  <c r="I151" i="2"/>
  <c r="H151" i="2"/>
  <c r="K150" i="2"/>
  <c r="J150" i="2"/>
  <c r="I150" i="2"/>
  <c r="H150" i="2"/>
  <c r="K149" i="2"/>
  <c r="J149" i="2"/>
  <c r="I149" i="2"/>
  <c r="H149" i="2"/>
  <c r="K148" i="2"/>
  <c r="J148" i="2"/>
  <c r="I148" i="2"/>
  <c r="H148" i="2"/>
  <c r="K147" i="2"/>
  <c r="J147" i="2"/>
  <c r="I147" i="2"/>
  <c r="H147" i="2"/>
  <c r="K146" i="2"/>
  <c r="J146" i="2"/>
  <c r="I146" i="2"/>
  <c r="H146" i="2"/>
  <c r="K145" i="2"/>
  <c r="J145" i="2"/>
  <c r="I145" i="2"/>
  <c r="H145" i="2"/>
  <c r="K144" i="2"/>
  <c r="J144" i="2"/>
  <c r="I144" i="2"/>
  <c r="H144" i="2"/>
  <c r="K143" i="2"/>
  <c r="J143" i="2"/>
  <c r="I143" i="2"/>
  <c r="H143" i="2"/>
  <c r="K142" i="2"/>
  <c r="J142" i="2"/>
  <c r="I142" i="2"/>
  <c r="H142" i="2"/>
  <c r="K141" i="2"/>
  <c r="J141" i="2"/>
  <c r="I141" i="2"/>
  <c r="H141" i="2"/>
  <c r="K140" i="2"/>
  <c r="J140" i="2"/>
  <c r="I140" i="2"/>
  <c r="H140" i="2"/>
  <c r="K139" i="2"/>
  <c r="J139" i="2"/>
  <c r="I139" i="2"/>
  <c r="H139" i="2"/>
  <c r="K138" i="2"/>
  <c r="J138" i="2"/>
  <c r="I138" i="2"/>
  <c r="H138" i="2"/>
  <c r="K137" i="2"/>
  <c r="J137" i="2"/>
  <c r="I137" i="2"/>
  <c r="H137" i="2"/>
  <c r="K136" i="2"/>
  <c r="J136" i="2"/>
  <c r="I136" i="2"/>
  <c r="H136" i="2"/>
  <c r="K135" i="2"/>
  <c r="J135" i="2"/>
  <c r="I135" i="2"/>
  <c r="H135" i="2"/>
  <c r="K134" i="2"/>
  <c r="J134" i="2"/>
  <c r="I134" i="2"/>
  <c r="H134" i="2"/>
  <c r="K133" i="2"/>
  <c r="J133" i="2"/>
  <c r="I133" i="2"/>
  <c r="H133" i="2"/>
  <c r="K132" i="2"/>
  <c r="J132" i="2"/>
  <c r="I132" i="2"/>
  <c r="H132" i="2"/>
  <c r="K131" i="2"/>
  <c r="J131" i="2"/>
  <c r="I131" i="2"/>
  <c r="H131" i="2"/>
  <c r="K130" i="2"/>
  <c r="J130" i="2"/>
  <c r="I130" i="2"/>
  <c r="H130" i="2"/>
  <c r="K129" i="2"/>
  <c r="J129" i="2"/>
  <c r="I129" i="2"/>
  <c r="H129" i="2"/>
  <c r="K128" i="2"/>
  <c r="J128" i="2"/>
  <c r="I128" i="2"/>
  <c r="H128" i="2"/>
  <c r="K127" i="2"/>
  <c r="J127" i="2"/>
  <c r="I127" i="2"/>
  <c r="H127" i="2"/>
  <c r="K117" i="2"/>
  <c r="J117" i="2"/>
  <c r="I117" i="2"/>
  <c r="H117" i="2"/>
  <c r="K116" i="2"/>
  <c r="J116" i="2"/>
  <c r="I116" i="2"/>
  <c r="H116" i="2"/>
  <c r="K115" i="2"/>
  <c r="J115" i="2"/>
  <c r="I115" i="2"/>
  <c r="H115" i="2"/>
  <c r="K114" i="2"/>
  <c r="J114" i="2"/>
  <c r="I114" i="2"/>
  <c r="H114" i="2"/>
  <c r="K113" i="2"/>
  <c r="J113" i="2"/>
  <c r="I113" i="2"/>
  <c r="H113" i="2"/>
  <c r="K112" i="2"/>
  <c r="J112" i="2"/>
  <c r="I112" i="2"/>
  <c r="H112" i="2"/>
  <c r="K111" i="2"/>
  <c r="J111" i="2"/>
  <c r="I111" i="2"/>
  <c r="H111" i="2"/>
  <c r="K110" i="2"/>
  <c r="J110" i="2"/>
  <c r="I110" i="2"/>
  <c r="H110" i="2"/>
  <c r="J119" i="2"/>
  <c r="J158" i="2" s="1"/>
  <c r="K109" i="2"/>
  <c r="J109" i="2"/>
  <c r="I109" i="2"/>
  <c r="H109" i="2"/>
  <c r="K108" i="2"/>
  <c r="J108" i="2"/>
  <c r="I108" i="2"/>
  <c r="H108" i="2"/>
  <c r="K107" i="2"/>
  <c r="J107" i="2"/>
  <c r="I107" i="2"/>
  <c r="H107" i="2"/>
  <c r="K106" i="2"/>
  <c r="J106" i="2"/>
  <c r="I106" i="2"/>
  <c r="H106" i="2"/>
  <c r="K105" i="2"/>
  <c r="J105" i="2"/>
  <c r="I105" i="2"/>
  <c r="H105" i="2"/>
  <c r="K104" i="2"/>
  <c r="J104" i="2"/>
  <c r="I104" i="2"/>
  <c r="H104" i="2"/>
  <c r="K103" i="2"/>
  <c r="J103" i="2"/>
  <c r="I103" i="2"/>
  <c r="H103" i="2"/>
  <c r="K102" i="2"/>
  <c r="J102" i="2"/>
  <c r="I102" i="2"/>
  <c r="H102" i="2"/>
  <c r="K101" i="2"/>
  <c r="J101" i="2"/>
  <c r="I101" i="2"/>
  <c r="H101" i="2"/>
  <c r="K100" i="2"/>
  <c r="J100" i="2"/>
  <c r="I100" i="2"/>
  <c r="H100" i="2"/>
  <c r="K99" i="2"/>
  <c r="J99" i="2"/>
  <c r="I99" i="2"/>
  <c r="H99" i="2"/>
  <c r="K98" i="2"/>
  <c r="J98" i="2"/>
  <c r="I98" i="2"/>
  <c r="H98" i="2"/>
  <c r="K97" i="2"/>
  <c r="J97" i="2"/>
  <c r="I97" i="2"/>
  <c r="H97" i="2"/>
  <c r="K96" i="2"/>
  <c r="J96" i="2"/>
  <c r="I96" i="2"/>
  <c r="H96" i="2"/>
  <c r="K95" i="2"/>
  <c r="J95" i="2"/>
  <c r="I95" i="2"/>
  <c r="H95" i="2"/>
  <c r="K94" i="2"/>
  <c r="J94" i="2"/>
  <c r="I94" i="2"/>
  <c r="H94" i="2"/>
  <c r="K93" i="2"/>
  <c r="J93" i="2"/>
  <c r="I93" i="2"/>
  <c r="H93" i="2"/>
  <c r="K92" i="2"/>
  <c r="J92" i="2"/>
  <c r="I92" i="2"/>
  <c r="H92" i="2"/>
  <c r="K91" i="2"/>
  <c r="J91" i="2"/>
  <c r="I91" i="2"/>
  <c r="H91" i="2"/>
  <c r="K90" i="2"/>
  <c r="J90" i="2"/>
  <c r="I90" i="2"/>
  <c r="H90" i="2"/>
  <c r="K89" i="2"/>
  <c r="J89" i="2"/>
  <c r="I89" i="2"/>
  <c r="H89" i="2"/>
  <c r="K88" i="2"/>
  <c r="J88" i="2"/>
  <c r="I88" i="2"/>
  <c r="H88" i="2"/>
  <c r="K74" i="2"/>
  <c r="J74" i="2"/>
  <c r="I74" i="2"/>
  <c r="H74" i="2"/>
  <c r="K73" i="2"/>
  <c r="J73" i="2"/>
  <c r="I73" i="2"/>
  <c r="H73" i="2"/>
  <c r="K72" i="2"/>
  <c r="J72" i="2"/>
  <c r="I72" i="2"/>
  <c r="H72" i="2"/>
  <c r="K71" i="2"/>
  <c r="J71" i="2"/>
  <c r="I71" i="2"/>
  <c r="H71" i="2"/>
  <c r="K70" i="2"/>
  <c r="J70" i="2"/>
  <c r="I70" i="2"/>
  <c r="H70" i="2"/>
  <c r="K69" i="2"/>
  <c r="J69" i="2"/>
  <c r="I69" i="2"/>
  <c r="H69" i="2"/>
  <c r="K68" i="2"/>
  <c r="J68" i="2"/>
  <c r="I68" i="2"/>
  <c r="H68" i="2"/>
  <c r="K67" i="2"/>
  <c r="J67" i="2"/>
  <c r="I67" i="2"/>
  <c r="H67" i="2"/>
  <c r="K66" i="2"/>
  <c r="J66" i="2"/>
  <c r="I66" i="2"/>
  <c r="H66" i="2"/>
  <c r="K65" i="2"/>
  <c r="J65" i="2"/>
  <c r="I65" i="2"/>
  <c r="H65" i="2"/>
  <c r="K64" i="2"/>
  <c r="J64" i="2"/>
  <c r="I64" i="2"/>
  <c r="H64" i="2"/>
  <c r="K63" i="2"/>
  <c r="J63" i="2"/>
  <c r="I63" i="2"/>
  <c r="H63" i="2"/>
  <c r="K62" i="2"/>
  <c r="J62" i="2"/>
  <c r="I62" i="2"/>
  <c r="H62" i="2"/>
  <c r="K61" i="2"/>
  <c r="J61" i="2"/>
  <c r="I61" i="2"/>
  <c r="H61" i="2"/>
  <c r="K60" i="2"/>
  <c r="J60" i="2"/>
  <c r="I60" i="2"/>
  <c r="H60" i="2"/>
  <c r="K59" i="2"/>
  <c r="J59" i="2"/>
  <c r="I59" i="2"/>
  <c r="H59" i="2"/>
  <c r="K58" i="2"/>
  <c r="J58" i="2"/>
  <c r="I58" i="2"/>
  <c r="H58" i="2"/>
  <c r="K57" i="2"/>
  <c r="J57" i="2"/>
  <c r="I57" i="2"/>
  <c r="H57" i="2"/>
  <c r="K56" i="2"/>
  <c r="J56" i="2"/>
  <c r="I56" i="2"/>
  <c r="H56" i="2"/>
  <c r="K55" i="2"/>
  <c r="J55" i="2"/>
  <c r="I55" i="2"/>
  <c r="H55" i="2"/>
  <c r="K54" i="2"/>
  <c r="J54" i="2"/>
  <c r="I54" i="2"/>
  <c r="H54" i="2"/>
  <c r="K53" i="2"/>
  <c r="J53" i="2"/>
  <c r="I53" i="2"/>
  <c r="H53" i="2"/>
  <c r="K52" i="2"/>
  <c r="J52" i="2"/>
  <c r="I52" i="2"/>
  <c r="H52" i="2"/>
  <c r="K51" i="2"/>
  <c r="J51" i="2"/>
  <c r="I51" i="2"/>
  <c r="H51" i="2"/>
  <c r="K50" i="2"/>
  <c r="J50" i="2"/>
  <c r="I50" i="2"/>
  <c r="H50" i="2"/>
  <c r="K49" i="2"/>
  <c r="J49" i="2"/>
  <c r="I49" i="2"/>
  <c r="H49" i="2"/>
  <c r="K39" i="2"/>
  <c r="J39" i="2"/>
  <c r="I39" i="2"/>
  <c r="H39" i="2"/>
  <c r="K38" i="2"/>
  <c r="J38" i="2"/>
  <c r="I38" i="2"/>
  <c r="H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K18" i="2"/>
  <c r="J18" i="2"/>
  <c r="I18" i="2"/>
  <c r="H18" i="2"/>
  <c r="K17" i="2"/>
  <c r="J17" i="2"/>
  <c r="I17" i="2"/>
  <c r="H17" i="2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I181" i="2" s="1"/>
  <c r="H11" i="2"/>
  <c r="K10" i="2"/>
  <c r="J10" i="2"/>
  <c r="I10" i="2"/>
  <c r="H10" i="2"/>
  <c r="J181" i="2" l="1"/>
  <c r="H181" i="2"/>
  <c r="K181" i="2"/>
</calcChain>
</file>

<file path=xl/sharedStrings.xml><?xml version="1.0" encoding="utf-8"?>
<sst xmlns="http://schemas.openxmlformats.org/spreadsheetml/2006/main" count="59" uniqueCount="15">
  <si>
    <t xml:space="preserve"> Empreendimento: Cuiabá Medical Center</t>
  </si>
  <si>
    <t xml:space="preserve"> Endereço : Rua Tanzania, Jardim Aclimação</t>
  </si>
  <si>
    <t>PLANO DE FINANCIAMENTO NO REPASSE</t>
  </si>
  <si>
    <t xml:space="preserve"> Unidade </t>
  </si>
  <si>
    <t xml:space="preserve"> Área Privativa (m2) </t>
  </si>
  <si>
    <t xml:space="preserve"> Área Total             (m2) </t>
  </si>
  <si>
    <t>Nº Vagas Garagem</t>
  </si>
  <si>
    <t xml:space="preserve">Preço de Vendas  sem Juros </t>
  </si>
  <si>
    <t xml:space="preserve"> Parcela de Sinal  </t>
  </si>
  <si>
    <t>PARCELAS REAJUSTÁVEIS</t>
  </si>
  <si>
    <t xml:space="preserve">36 Parcelas Mensais </t>
  </si>
  <si>
    <t>Parcelas Intermediárias                   8º -  14º -  20º - 28º Mês</t>
  </si>
  <si>
    <t>Parcela de Quitção</t>
  </si>
  <si>
    <t>Parcelas Intermediárias  8º -  14º -  20º - 28º Mês</t>
  </si>
  <si>
    <t>Tabela de Vendas – Vigência: Até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</si>
</sst>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&quot;-R$&quot;* #,##0.00_-;_-&quot;R$&quot;* \-??_-;_-@_-"/>
    <numFmt numFmtId="165" formatCode="_-[$R$-416]\ * #,##0.00_-;\-[$R$-416]\ * #,##0.00_-;_-[$R$-416]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0000"/>
      <name val="Arial"/>
      <family val="2"/>
    </font>
    <font>
      <sz val="9"/>
      <color theme="0"/>
      <name val="Arial"/>
      <family val="2"/>
    </font>
    <font>
      <sz val="11"/>
      <color indexed="8"/>
      <name val="Calibri"/>
      <family val="2"/>
      <charset val="1"/>
    </font>
    <font>
      <sz val="9"/>
      <color indexed="8"/>
      <name val="Arial"/>
      <family val="2"/>
    </font>
    <font>
      <sz val="11"/>
      <color theme="0"/>
      <name val="Aptos Narrow"/>
      <family val="2"/>
      <scheme val="minor"/>
    </font>
    <font>
      <b/>
      <sz val="9"/>
      <color theme="3"/>
      <name val="Arial"/>
      <family val="2"/>
    </font>
    <font>
      <b/>
      <sz val="9"/>
      <color theme="0"/>
      <name val="Aptos Narrow"/>
      <family val="2"/>
      <scheme val="minor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555555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2" fillId="2" borderId="0" xfId="0" applyFont="1" applyFill="1"/>
    <xf numFmtId="2" fontId="4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2" fontId="4" fillId="2" borderId="5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vertical="center"/>
    </xf>
    <xf numFmtId="2" fontId="4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/>
    <xf numFmtId="2" fontId="2" fillId="2" borderId="0" xfId="1" applyNumberFormat="1" applyFont="1" applyFill="1" applyAlignment="1">
      <alignment horizontal="center"/>
    </xf>
    <xf numFmtId="0" fontId="2" fillId="2" borderId="0" xfId="1" applyFont="1" applyFill="1"/>
    <xf numFmtId="0" fontId="2" fillId="2" borderId="5" xfId="1" applyFont="1" applyFill="1" applyBorder="1"/>
    <xf numFmtId="0" fontId="3" fillId="2" borderId="0" xfId="1" applyFont="1" applyFill="1" applyAlignment="1">
      <alignment horizontal="center" vertical="center" wrapText="1"/>
    </xf>
    <xf numFmtId="0" fontId="7" fillId="2" borderId="0" xfId="0" applyFont="1" applyFill="1"/>
    <xf numFmtId="0" fontId="5" fillId="2" borderId="11" xfId="1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/>
    </xf>
    <xf numFmtId="2" fontId="5" fillId="2" borderId="12" xfId="1" applyNumberFormat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3" fontId="5" fillId="2" borderId="13" xfId="2" applyNumberFormat="1" applyFont="1" applyFill="1" applyBorder="1" applyAlignment="1">
      <alignment vertical="center"/>
    </xf>
    <xf numFmtId="2" fontId="3" fillId="0" borderId="15" xfId="1" applyNumberFormat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164" fontId="3" fillId="0" borderId="15" xfId="2" applyNumberFormat="1" applyFont="1" applyBorder="1" applyAlignment="1">
      <alignment vertical="center"/>
    </xf>
    <xf numFmtId="0" fontId="2" fillId="0" borderId="0" xfId="1" applyFont="1" applyAlignment="1">
      <alignment horizontal="center"/>
    </xf>
    <xf numFmtId="0" fontId="4" fillId="0" borderId="16" xfId="0" applyFont="1" applyBorder="1" applyAlignment="1">
      <alignment horizontal="center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2" fontId="3" fillId="3" borderId="15" xfId="1" applyNumberFormat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164" fontId="3" fillId="3" borderId="15" xfId="2" applyNumberFormat="1" applyFont="1" applyFill="1" applyBorder="1" applyAlignment="1">
      <alignment vertical="center"/>
    </xf>
    <xf numFmtId="0" fontId="9" fillId="3" borderId="0" xfId="1" applyFont="1" applyFill="1" applyAlignment="1">
      <alignment horizontal="center" vertical="center" wrapText="1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64" fontId="3" fillId="0" borderId="0" xfId="2" applyNumberFormat="1" applyFont="1" applyAlignment="1">
      <alignment vertical="center"/>
    </xf>
    <xf numFmtId="0" fontId="4" fillId="0" borderId="2" xfId="1" applyFont="1" applyBorder="1" applyAlignment="1">
      <alignment vertical="center"/>
    </xf>
    <xf numFmtId="2" fontId="4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/>
    <xf numFmtId="2" fontId="2" fillId="0" borderId="0" xfId="1" applyNumberFormat="1" applyFont="1" applyAlignment="1">
      <alignment horizontal="center"/>
    </xf>
    <xf numFmtId="0" fontId="2" fillId="0" borderId="0" xfId="1" applyFont="1"/>
    <xf numFmtId="0" fontId="2" fillId="0" borderId="5" xfId="1" applyFont="1" applyBorder="1"/>
    <xf numFmtId="2" fontId="3" fillId="0" borderId="12" xfId="0" applyNumberFormat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164" fontId="3" fillId="0" borderId="13" xfId="2" applyNumberFormat="1" applyFont="1" applyBorder="1" applyAlignment="1">
      <alignment vertical="center"/>
    </xf>
    <xf numFmtId="164" fontId="3" fillId="0" borderId="12" xfId="2" applyNumberFormat="1" applyFont="1" applyBorder="1" applyAlignment="1">
      <alignment vertical="center"/>
    </xf>
    <xf numFmtId="164" fontId="3" fillId="0" borderId="18" xfId="2" applyNumberFormat="1" applyFont="1" applyBorder="1" applyAlignment="1">
      <alignment vertical="center"/>
    </xf>
    <xf numFmtId="0" fontId="6" fillId="2" borderId="16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2" fontId="3" fillId="0" borderId="19" xfId="1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2" fontId="3" fillId="2" borderId="15" xfId="1" applyNumberFormat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164" fontId="3" fillId="2" borderId="15" xfId="2" applyNumberFormat="1" applyFont="1" applyFill="1" applyBorder="1" applyAlignment="1">
      <alignment vertical="center"/>
    </xf>
    <xf numFmtId="0" fontId="2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/>
    </xf>
    <xf numFmtId="164" fontId="3" fillId="0" borderId="14" xfId="2" applyNumberFormat="1" applyFont="1" applyBorder="1" applyAlignment="1">
      <alignment vertical="center"/>
    </xf>
    <xf numFmtId="0" fontId="9" fillId="0" borderId="15" xfId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2" borderId="0" xfId="0" applyFill="1"/>
    <xf numFmtId="0" fontId="4" fillId="3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1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10" fillId="0" borderId="0" xfId="0" applyFont="1"/>
    <xf numFmtId="0" fontId="7" fillId="2" borderId="0" xfId="1" applyFont="1" applyFill="1" applyAlignment="1">
      <alignment horizontal="center"/>
    </xf>
    <xf numFmtId="10" fontId="7" fillId="0" borderId="0" xfId="3" applyNumberFormat="1" applyFont="1" applyFill="1" applyAlignment="1">
      <alignment vertical="center"/>
    </xf>
    <xf numFmtId="0" fontId="11" fillId="0" borderId="10" xfId="1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2" fontId="5" fillId="2" borderId="0" xfId="1" applyNumberFormat="1" applyFont="1" applyFill="1" applyAlignment="1">
      <alignment horizontal="center" vertical="center" wrapText="1"/>
    </xf>
    <xf numFmtId="165" fontId="5" fillId="2" borderId="0" xfId="1" applyNumberFormat="1" applyFont="1" applyFill="1" applyAlignment="1">
      <alignment horizontal="center" vertical="center" wrapText="1"/>
    </xf>
    <xf numFmtId="0" fontId="5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165" fontId="12" fillId="2" borderId="0" xfId="0" applyNumberFormat="1" applyFont="1" applyFill="1"/>
    <xf numFmtId="0" fontId="13" fillId="3" borderId="16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2" fontId="3" fillId="0" borderId="10" xfId="1" applyNumberFormat="1" applyFont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 wrapText="1"/>
    </xf>
    <xf numFmtId="2" fontId="3" fillId="2" borderId="10" xfId="1" applyNumberFormat="1" applyFont="1" applyFill="1" applyBorder="1" applyAlignment="1">
      <alignment horizontal="center" vertical="center" wrapText="1"/>
    </xf>
  </cellXfs>
  <cellStyles count="4">
    <cellStyle name="Excel Built-in Normal" xfId="2" xr:uid="{97161BC9-55E8-4D91-8AE8-0431D568CA7D}"/>
    <cellStyle name="Normal" xfId="0" builtinId="0"/>
    <cellStyle name="Normal 2" xfId="1" xr:uid="{89AFF9CA-CF31-4624-B1FC-54F7D02D3CA5}"/>
    <cellStyle name="Porcentagem 2" xfId="3" xr:uid="{3473B200-6862-4234-83E3-D8FC0211C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181</xdr:row>
      <xdr:rowOff>30690</xdr:rowOff>
    </xdr:from>
    <xdr:to>
      <xdr:col>11</xdr:col>
      <xdr:colOff>146050</xdr:colOff>
      <xdr:row>213</xdr:row>
      <xdr:rowOff>93768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99E93DC-EE10-43EF-80FA-CB960E45BA05}"/>
            </a:ext>
          </a:extLst>
        </xdr:cNvPr>
        <xdr:cNvSpPr/>
      </xdr:nvSpPr>
      <xdr:spPr>
        <a:xfrm>
          <a:off x="603250" y="27900840"/>
          <a:ext cx="8553450" cy="55685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NOTAS: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A - REAJUSTE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As parcelas com vencimento até a data de emissão do Certificado de Conclusão de Obras ("Habite-se"), inclusive, serão reajustadas a partir da data da aquisição de acordo com a variação do INCC - FGV e as parcelas com vencimento a partir do mês seguinte à emissão do "Habite-se" serão reajustadas de acordo com a variação do IGP-M (FGV).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B - PARCELAS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Todas as parcelas com vencimento a partir do mês seguinte à emissão do Certificado de Conclusão da Obra ("Habite-se") serão acrescidas de juros de 1% am (um por cento ao mês) mais IGPM. Para fins de estimativa do valor das parcelas já acrescidos de juros, a Incorporadora adotou como estimativa a data de habite-se concomitante a data mencionada na letra F abaixo.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C - FINANCIAMENTO BANCÁRIO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A contratação do financiamento bancário, a assinatura e o registro do respectivo ato de financiamento são de exclusiva responsabilidade do cliente. Com a contratação de financiamento bancário para pagamento do saldo do preço, os pagamentos destas parcelas serão efetuados à Instituição Bancária pelas condições e critérios do agente financiador a partir do 1° dia do mês subseqüente à contratação, de acordo com as regras do respectivo contrato. Uma vez não contratado, o respectivo valor deverá ser pago integralmente e com recursos próprios do adquirente à </a:t>
          </a:r>
          <a:r>
            <a:rPr lang="pt-BR" sz="1100" b="1">
              <a:solidFill>
                <a:sysClr val="windowText" lastClr="000000"/>
              </a:solidFill>
            </a:rPr>
            <a:t>INCORPORADORA.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D - DESPESAS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As despesas cartorárias, de impostos de transmissão de bens e de registro serão de exclusiva responsabilidade do adquirente. As despesas de seguro de morte e invalidez permanente (MIP) e danos físicos ao imóvel (DFI) deverão ser contratadas pelo adquirente e deverão ser observados os requisitos desta contratação.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E - VALIDADE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Os preços praticados nesta data poderão ser alterados a qualquer tempo pela vendedora sem prévio aviso.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F - CONCLUSÃO DAS OBRAS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Prevista para </a:t>
          </a:r>
          <a:r>
            <a:rPr lang="pt-BR" sz="1100" b="1">
              <a:solidFill>
                <a:sysClr val="windowText" lastClr="000000"/>
              </a:solidFill>
            </a:rPr>
            <a:t>30 / OUTUBRO / 2029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48BD-45C3-45B4-B106-7606436DB84D}">
  <sheetPr>
    <tabColor rgb="FF7030A0"/>
    <pageSetUpPr fitToPage="1"/>
  </sheetPr>
  <dimension ref="A1:L215"/>
  <sheetViews>
    <sheetView showGridLines="0" tabSelected="1" topLeftCell="A193" zoomScale="90" zoomScaleNormal="90" workbookViewId="0">
      <selection activeCell="M17" sqref="M17"/>
    </sheetView>
  </sheetViews>
  <sheetFormatPr defaultRowHeight="14.4" x14ac:dyDescent="0.3"/>
  <cols>
    <col min="2" max="2" width="8.44140625" customWidth="1"/>
    <col min="4" max="4" width="9.109375" style="71" customWidth="1"/>
    <col min="6" max="6" width="17" customWidth="1"/>
    <col min="7" max="7" width="1.33203125" customWidth="1"/>
    <col min="8" max="8" width="16.109375" customWidth="1"/>
    <col min="9" max="9" width="17.88671875" customWidth="1"/>
    <col min="10" max="10" width="22.88671875" customWidth="1"/>
    <col min="11" max="11" width="15.6640625" customWidth="1"/>
  </cols>
  <sheetData>
    <row r="1" spans="1:12" ht="15" thickBot="1" x14ac:dyDescent="0.35"/>
    <row r="2" spans="1:12" ht="15" thickTop="1" x14ac:dyDescent="0.3">
      <c r="A2" s="1"/>
      <c r="B2" s="78" t="s">
        <v>0</v>
      </c>
      <c r="C2" s="2"/>
      <c r="D2" s="72"/>
      <c r="E2" s="3"/>
      <c r="F2" s="3"/>
      <c r="G2" s="3"/>
      <c r="H2" s="3"/>
      <c r="I2" s="3"/>
      <c r="J2" s="107" t="s">
        <v>14</v>
      </c>
      <c r="K2" s="107"/>
      <c r="L2" s="1"/>
    </row>
    <row r="3" spans="1:12" ht="15" thickBot="1" x14ac:dyDescent="0.35">
      <c r="A3" s="1"/>
      <c r="B3" s="79" t="s">
        <v>1</v>
      </c>
      <c r="C3" s="4"/>
      <c r="D3" s="73"/>
      <c r="E3" s="5"/>
      <c r="F3" s="5"/>
      <c r="G3" s="5"/>
      <c r="H3" s="5"/>
      <c r="I3" s="5"/>
      <c r="J3" s="107"/>
      <c r="K3" s="107"/>
      <c r="L3" s="1"/>
    </row>
    <row r="4" spans="1:12" ht="3.6" customHeight="1" thickTop="1" thickBot="1" x14ac:dyDescent="0.35">
      <c r="A4" s="1"/>
      <c r="B4" s="7"/>
      <c r="C4" s="6"/>
      <c r="D4" s="74"/>
      <c r="E4" s="7"/>
      <c r="F4" s="7"/>
      <c r="G4" s="7"/>
      <c r="H4" s="7"/>
      <c r="I4" s="7"/>
      <c r="J4" s="107"/>
      <c r="K4" s="107"/>
      <c r="L4" s="1"/>
    </row>
    <row r="5" spans="1:12" ht="15.6" thickTop="1" thickBot="1" x14ac:dyDescent="0.35">
      <c r="A5" s="1"/>
      <c r="B5" s="113" t="s">
        <v>2</v>
      </c>
      <c r="C5" s="114"/>
      <c r="D5" s="114"/>
      <c r="E5" s="114"/>
      <c r="F5" s="114"/>
      <c r="G5" s="114"/>
      <c r="H5" s="114"/>
      <c r="I5" s="114"/>
      <c r="J5" s="115"/>
      <c r="K5" s="116"/>
      <c r="L5" s="1"/>
    </row>
    <row r="6" spans="1:12" ht="3.6" customHeight="1" thickTop="1" thickBot="1" x14ac:dyDescent="0.35">
      <c r="A6" s="1"/>
      <c r="B6" s="8"/>
      <c r="C6" s="9"/>
      <c r="D6" s="62"/>
      <c r="E6" s="8"/>
      <c r="F6" s="10"/>
      <c r="G6" s="10"/>
      <c r="H6" s="10"/>
      <c r="I6" s="11"/>
      <c r="J6" s="11"/>
      <c r="K6" s="11"/>
      <c r="L6" s="1"/>
    </row>
    <row r="7" spans="1:12" ht="15.6" thickTop="1" thickBot="1" x14ac:dyDescent="0.35">
      <c r="A7" s="1"/>
      <c r="B7" s="117" t="s">
        <v>3</v>
      </c>
      <c r="C7" s="118" t="s">
        <v>4</v>
      </c>
      <c r="D7" s="100" t="s">
        <v>5</v>
      </c>
      <c r="E7" s="100" t="s">
        <v>6</v>
      </c>
      <c r="F7" s="100" t="s">
        <v>7</v>
      </c>
      <c r="G7" s="12"/>
      <c r="H7" s="100" t="s">
        <v>8</v>
      </c>
      <c r="I7" s="101" t="s">
        <v>9</v>
      </c>
      <c r="J7" s="101"/>
      <c r="K7" s="101"/>
      <c r="L7" s="1"/>
    </row>
    <row r="8" spans="1:12" ht="24" x14ac:dyDescent="0.3">
      <c r="A8" s="1"/>
      <c r="B8" s="117"/>
      <c r="C8" s="118"/>
      <c r="D8" s="100"/>
      <c r="E8" s="100"/>
      <c r="F8" s="100"/>
      <c r="G8" s="12"/>
      <c r="H8" s="100"/>
      <c r="I8" s="87" t="s">
        <v>10</v>
      </c>
      <c r="J8" s="87" t="s">
        <v>11</v>
      </c>
      <c r="K8" s="87" t="s">
        <v>12</v>
      </c>
      <c r="L8" s="1"/>
    </row>
    <row r="9" spans="1:12" s="84" customFormat="1" ht="12" customHeight="1" thickTop="1" x14ac:dyDescent="0.3">
      <c r="A9" s="13"/>
      <c r="B9" s="14"/>
      <c r="C9" s="15"/>
      <c r="D9" s="16"/>
      <c r="E9" s="17">
        <v>4</v>
      </c>
      <c r="F9" s="18">
        <v>36</v>
      </c>
      <c r="G9" s="85"/>
      <c r="H9" s="86">
        <v>0.15</v>
      </c>
      <c r="I9" s="86">
        <v>0.2</v>
      </c>
      <c r="J9" s="86">
        <v>0.15</v>
      </c>
      <c r="K9" s="86">
        <v>0.5</v>
      </c>
      <c r="L9" s="13"/>
    </row>
    <row r="10" spans="1:12" ht="12.6" customHeight="1" x14ac:dyDescent="0.3">
      <c r="A10" s="1"/>
      <c r="B10" s="83">
        <v>101</v>
      </c>
      <c r="C10" s="19">
        <v>69.989999999999995</v>
      </c>
      <c r="D10" s="19">
        <v>153.54</v>
      </c>
      <c r="E10" s="20">
        <v>1</v>
      </c>
      <c r="F10" s="21">
        <v>1084845</v>
      </c>
      <c r="G10" s="22"/>
      <c r="H10" s="21">
        <f>F10*H$9</f>
        <v>162726.75</v>
      </c>
      <c r="I10" s="21">
        <f>(F10*I$9)/36</f>
        <v>6026.916666666667</v>
      </c>
      <c r="J10" s="21">
        <f>(F10*J$9)/4</f>
        <v>40681.6875</v>
      </c>
      <c r="K10" s="21">
        <f>F10*K$9</f>
        <v>542422.5</v>
      </c>
      <c r="L10" s="1"/>
    </row>
    <row r="11" spans="1:12" ht="12.6" customHeight="1" x14ac:dyDescent="0.3">
      <c r="A11" s="1"/>
      <c r="B11" s="67">
        <v>102</v>
      </c>
      <c r="C11" s="19">
        <v>64.3</v>
      </c>
      <c r="D11" s="19">
        <v>143.41999999999999</v>
      </c>
      <c r="E11" s="20">
        <v>1</v>
      </c>
      <c r="F11" s="21">
        <v>996650</v>
      </c>
      <c r="G11" s="22"/>
      <c r="H11" s="21">
        <f t="shared" ref="H11:H39" si="0">F11*H$9</f>
        <v>149497.5</v>
      </c>
      <c r="I11" s="21">
        <f t="shared" ref="I11:I39" si="1">(F11*I$9)/36</f>
        <v>5536.9444444444443</v>
      </c>
      <c r="J11" s="21">
        <f t="shared" ref="J11:J39" si="2">(F11*J$9)/4</f>
        <v>37374.375</v>
      </c>
      <c r="K11" s="21">
        <f t="shared" ref="K11:K39" si="3">F11*K$9</f>
        <v>498325</v>
      </c>
      <c r="L11" s="1"/>
    </row>
    <row r="12" spans="1:12" ht="12.6" customHeight="1" x14ac:dyDescent="0.3">
      <c r="A12" s="1"/>
      <c r="B12" s="67">
        <v>103</v>
      </c>
      <c r="C12" s="19">
        <v>67.75</v>
      </c>
      <c r="D12" s="19">
        <v>149.47</v>
      </c>
      <c r="E12" s="20">
        <v>1</v>
      </c>
      <c r="F12" s="21">
        <v>1050125</v>
      </c>
      <c r="G12" s="24"/>
      <c r="H12" s="21">
        <f t="shared" si="0"/>
        <v>157518.75</v>
      </c>
      <c r="I12" s="21">
        <f t="shared" si="1"/>
        <v>5834.0277777777774</v>
      </c>
      <c r="J12" s="21">
        <f t="shared" si="2"/>
        <v>39379.6875</v>
      </c>
      <c r="K12" s="21">
        <f t="shared" si="3"/>
        <v>525062.5</v>
      </c>
      <c r="L12" s="1"/>
    </row>
    <row r="13" spans="1:12" ht="12.6" customHeight="1" x14ac:dyDescent="0.3">
      <c r="A13" s="1"/>
      <c r="B13" s="67">
        <v>104</v>
      </c>
      <c r="C13" s="19">
        <v>65.430000000000007</v>
      </c>
      <c r="D13" s="19">
        <v>145.31</v>
      </c>
      <c r="E13" s="20">
        <v>1</v>
      </c>
      <c r="F13" s="21">
        <v>1014165.0000000001</v>
      </c>
      <c r="G13" s="24"/>
      <c r="H13" s="21">
        <f t="shared" si="0"/>
        <v>152124.75</v>
      </c>
      <c r="I13" s="21">
        <f t="shared" si="1"/>
        <v>5634.2500000000009</v>
      </c>
      <c r="J13" s="21">
        <f t="shared" si="2"/>
        <v>38031.1875</v>
      </c>
      <c r="K13" s="21">
        <f t="shared" si="3"/>
        <v>507082.50000000006</v>
      </c>
      <c r="L13" s="1"/>
    </row>
    <row r="14" spans="1:12" ht="12.6" customHeight="1" x14ac:dyDescent="0.3">
      <c r="A14" s="1"/>
      <c r="B14" s="67">
        <v>105</v>
      </c>
      <c r="C14" s="19">
        <v>64.3</v>
      </c>
      <c r="D14" s="19">
        <v>143.41999999999999</v>
      </c>
      <c r="E14" s="20">
        <v>1</v>
      </c>
      <c r="F14" s="21">
        <v>996650</v>
      </c>
      <c r="G14" s="24"/>
      <c r="H14" s="21">
        <f t="shared" si="0"/>
        <v>149497.5</v>
      </c>
      <c r="I14" s="21">
        <f t="shared" si="1"/>
        <v>5536.9444444444443</v>
      </c>
      <c r="J14" s="21">
        <f t="shared" si="2"/>
        <v>37374.375</v>
      </c>
      <c r="K14" s="21">
        <f t="shared" si="3"/>
        <v>498325</v>
      </c>
      <c r="L14" s="1"/>
    </row>
    <row r="15" spans="1:12" ht="12.6" customHeight="1" x14ac:dyDescent="0.3">
      <c r="A15" s="1"/>
      <c r="B15" s="67">
        <v>106</v>
      </c>
      <c r="C15" s="19">
        <v>69.989999999999995</v>
      </c>
      <c r="D15" s="19">
        <v>153.54</v>
      </c>
      <c r="E15" s="20">
        <v>1</v>
      </c>
      <c r="F15" s="21">
        <v>1084845</v>
      </c>
      <c r="G15" s="24"/>
      <c r="H15" s="21">
        <f t="shared" si="0"/>
        <v>162726.75</v>
      </c>
      <c r="I15" s="21">
        <f t="shared" si="1"/>
        <v>6026.916666666667</v>
      </c>
      <c r="J15" s="21">
        <f t="shared" si="2"/>
        <v>40681.6875</v>
      </c>
      <c r="K15" s="21">
        <f t="shared" si="3"/>
        <v>542422.5</v>
      </c>
      <c r="L15" s="1"/>
    </row>
    <row r="16" spans="1:12" ht="12.6" customHeight="1" x14ac:dyDescent="0.3">
      <c r="A16" s="1"/>
      <c r="B16" s="67">
        <v>107</v>
      </c>
      <c r="C16" s="19">
        <v>69.989999999999995</v>
      </c>
      <c r="D16" s="19">
        <v>153.54</v>
      </c>
      <c r="E16" s="20">
        <v>1</v>
      </c>
      <c r="F16" s="21">
        <v>1095693.45</v>
      </c>
      <c r="G16" s="24"/>
      <c r="H16" s="21">
        <f t="shared" si="0"/>
        <v>164354.01749999999</v>
      </c>
      <c r="I16" s="21">
        <f t="shared" si="1"/>
        <v>6087.185833333333</v>
      </c>
      <c r="J16" s="21">
        <f t="shared" si="2"/>
        <v>41088.504374999997</v>
      </c>
      <c r="K16" s="21">
        <f t="shared" si="3"/>
        <v>547846.72499999998</v>
      </c>
      <c r="L16" s="1"/>
    </row>
    <row r="17" spans="1:12" ht="12.6" customHeight="1" x14ac:dyDescent="0.3">
      <c r="A17" s="1"/>
      <c r="B17" s="67">
        <v>108</v>
      </c>
      <c r="C17" s="19">
        <v>64.3</v>
      </c>
      <c r="D17" s="19">
        <v>143.41999999999999</v>
      </c>
      <c r="E17" s="20">
        <v>1</v>
      </c>
      <c r="F17" s="21">
        <v>1006616.5</v>
      </c>
      <c r="G17" s="24"/>
      <c r="H17" s="21">
        <f t="shared" si="0"/>
        <v>150992.47500000001</v>
      </c>
      <c r="I17" s="21">
        <f t="shared" si="1"/>
        <v>5592.3138888888898</v>
      </c>
      <c r="J17" s="21">
        <f t="shared" si="2"/>
        <v>37748.118750000001</v>
      </c>
      <c r="K17" s="21">
        <f t="shared" si="3"/>
        <v>503308.25</v>
      </c>
      <c r="L17" s="1"/>
    </row>
    <row r="18" spans="1:12" ht="12.6" customHeight="1" x14ac:dyDescent="0.3">
      <c r="A18" s="1"/>
      <c r="B18" s="67">
        <v>109</v>
      </c>
      <c r="C18" s="19">
        <v>64.22</v>
      </c>
      <c r="D18" s="19">
        <v>143.19</v>
      </c>
      <c r="E18" s="20">
        <v>1</v>
      </c>
      <c r="F18" s="21">
        <v>1005364.1</v>
      </c>
      <c r="G18" s="24"/>
      <c r="H18" s="21">
        <f t="shared" si="0"/>
        <v>150804.61499999999</v>
      </c>
      <c r="I18" s="21">
        <f t="shared" si="1"/>
        <v>5585.3561111111112</v>
      </c>
      <c r="J18" s="21">
        <f t="shared" si="2"/>
        <v>37701.153749999998</v>
      </c>
      <c r="K18" s="21">
        <f t="shared" si="3"/>
        <v>502682.05</v>
      </c>
      <c r="L18" s="1"/>
    </row>
    <row r="19" spans="1:12" ht="12.6" customHeight="1" x14ac:dyDescent="0.3">
      <c r="A19" s="1"/>
      <c r="B19" s="67">
        <v>110</v>
      </c>
      <c r="C19" s="19">
        <v>67.44</v>
      </c>
      <c r="D19" s="19">
        <v>149.01</v>
      </c>
      <c r="E19" s="20">
        <v>1</v>
      </c>
      <c r="F19" s="21">
        <v>1055773.2</v>
      </c>
      <c r="G19" s="24"/>
      <c r="H19" s="21">
        <f t="shared" si="0"/>
        <v>158365.97999999998</v>
      </c>
      <c r="I19" s="21">
        <f t="shared" si="1"/>
        <v>5865.4066666666668</v>
      </c>
      <c r="J19" s="21">
        <f t="shared" si="2"/>
        <v>39591.494999999995</v>
      </c>
      <c r="K19" s="21">
        <f t="shared" si="3"/>
        <v>527886.6</v>
      </c>
      <c r="L19" s="1"/>
    </row>
    <row r="20" spans="1:12" ht="12.6" customHeight="1" x14ac:dyDescent="0.3">
      <c r="A20" s="1"/>
      <c r="B20" s="67">
        <v>111</v>
      </c>
      <c r="C20" s="19">
        <v>67.44</v>
      </c>
      <c r="D20" s="19">
        <v>149.01</v>
      </c>
      <c r="E20" s="20">
        <v>1</v>
      </c>
      <c r="F20" s="21">
        <v>1055773.2</v>
      </c>
      <c r="G20" s="22"/>
      <c r="H20" s="21">
        <f t="shared" si="0"/>
        <v>158365.97999999998</v>
      </c>
      <c r="I20" s="21">
        <f t="shared" si="1"/>
        <v>5865.4066666666668</v>
      </c>
      <c r="J20" s="21">
        <f t="shared" si="2"/>
        <v>39591.494999999995</v>
      </c>
      <c r="K20" s="21">
        <f t="shared" si="3"/>
        <v>527886.6</v>
      </c>
      <c r="L20" s="1"/>
    </row>
    <row r="21" spans="1:12" ht="12.6" customHeight="1" x14ac:dyDescent="0.3">
      <c r="A21" s="1"/>
      <c r="B21" s="67">
        <v>112</v>
      </c>
      <c r="C21" s="19">
        <v>68.62</v>
      </c>
      <c r="D21" s="19">
        <v>151.1</v>
      </c>
      <c r="E21" s="20">
        <v>1</v>
      </c>
      <c r="F21" s="21">
        <v>1074246.1000000001</v>
      </c>
      <c r="G21" s="22"/>
      <c r="H21" s="21">
        <f t="shared" si="0"/>
        <v>161136.91500000001</v>
      </c>
      <c r="I21" s="21">
        <f t="shared" si="1"/>
        <v>5968.03388888889</v>
      </c>
      <c r="J21" s="21">
        <f t="shared" si="2"/>
        <v>40284.228750000002</v>
      </c>
      <c r="K21" s="21">
        <f t="shared" si="3"/>
        <v>537123.05000000005</v>
      </c>
      <c r="L21" s="1"/>
    </row>
    <row r="22" spans="1:12" ht="12.6" customHeight="1" x14ac:dyDescent="0.3">
      <c r="A22" s="1"/>
      <c r="B22" s="67">
        <v>113</v>
      </c>
      <c r="C22" s="19">
        <v>65.39</v>
      </c>
      <c r="D22" s="19">
        <v>145.27000000000001</v>
      </c>
      <c r="E22" s="20">
        <v>1</v>
      </c>
      <c r="F22" s="21">
        <v>1023680.45</v>
      </c>
      <c r="G22" s="22"/>
      <c r="H22" s="21">
        <f t="shared" si="0"/>
        <v>153552.06749999998</v>
      </c>
      <c r="I22" s="21">
        <f t="shared" si="1"/>
        <v>5687.1136111111109</v>
      </c>
      <c r="J22" s="21">
        <f t="shared" si="2"/>
        <v>38388.016874999994</v>
      </c>
      <c r="K22" s="21">
        <f t="shared" si="3"/>
        <v>511840.22499999998</v>
      </c>
      <c r="L22" s="1"/>
    </row>
    <row r="23" spans="1:12" ht="12.6" customHeight="1" x14ac:dyDescent="0.3">
      <c r="A23" s="1"/>
      <c r="B23" s="67">
        <v>114</v>
      </c>
      <c r="C23" s="19">
        <v>64.3</v>
      </c>
      <c r="D23" s="19">
        <v>143.41999999999999</v>
      </c>
      <c r="E23" s="20">
        <v>1</v>
      </c>
      <c r="F23" s="21">
        <v>1006616.5</v>
      </c>
      <c r="G23" s="22"/>
      <c r="H23" s="21">
        <f t="shared" si="0"/>
        <v>150992.47500000001</v>
      </c>
      <c r="I23" s="21">
        <f t="shared" si="1"/>
        <v>5592.3138888888898</v>
      </c>
      <c r="J23" s="21">
        <f t="shared" si="2"/>
        <v>37748.118750000001</v>
      </c>
      <c r="K23" s="21">
        <f t="shared" si="3"/>
        <v>503308.25</v>
      </c>
      <c r="L23" s="1"/>
    </row>
    <row r="24" spans="1:12" ht="12.6" customHeight="1" x14ac:dyDescent="0.3">
      <c r="A24" s="1"/>
      <c r="B24" s="68">
        <v>115</v>
      </c>
      <c r="C24" s="19">
        <v>69.989999999999995</v>
      </c>
      <c r="D24" s="19">
        <v>153.54</v>
      </c>
      <c r="E24" s="20">
        <v>1</v>
      </c>
      <c r="F24" s="21">
        <v>1095693.45</v>
      </c>
      <c r="G24" s="24"/>
      <c r="H24" s="21">
        <f t="shared" si="0"/>
        <v>164354.01749999999</v>
      </c>
      <c r="I24" s="21">
        <f t="shared" si="1"/>
        <v>6087.185833333333</v>
      </c>
      <c r="J24" s="21">
        <f t="shared" si="2"/>
        <v>41088.504374999997</v>
      </c>
      <c r="K24" s="21">
        <f t="shared" si="3"/>
        <v>547846.72499999998</v>
      </c>
      <c r="L24" s="1"/>
    </row>
    <row r="25" spans="1:12" ht="12.6" customHeight="1" x14ac:dyDescent="0.3">
      <c r="A25" s="1"/>
      <c r="B25" s="31">
        <v>201</v>
      </c>
      <c r="C25" s="27">
        <v>69.989999999999995</v>
      </c>
      <c r="D25" s="27">
        <v>153.54</v>
      </c>
      <c r="E25" s="28">
        <v>1</v>
      </c>
      <c r="F25" s="29">
        <v>1084845</v>
      </c>
      <c r="G25" s="30"/>
      <c r="H25" s="29">
        <f t="shared" si="0"/>
        <v>162726.75</v>
      </c>
      <c r="I25" s="29">
        <f t="shared" si="1"/>
        <v>6026.916666666667</v>
      </c>
      <c r="J25" s="29">
        <f t="shared" si="2"/>
        <v>40681.6875</v>
      </c>
      <c r="K25" s="29">
        <f t="shared" si="3"/>
        <v>542422.5</v>
      </c>
      <c r="L25" s="1"/>
    </row>
    <row r="26" spans="1:12" ht="12.6" customHeight="1" x14ac:dyDescent="0.3">
      <c r="A26" s="1"/>
      <c r="B26" s="31">
        <v>202</v>
      </c>
      <c r="C26" s="27">
        <v>64.3</v>
      </c>
      <c r="D26" s="27">
        <v>143.41999999999999</v>
      </c>
      <c r="E26" s="28">
        <v>1</v>
      </c>
      <c r="F26" s="29">
        <v>996650</v>
      </c>
      <c r="G26" s="30"/>
      <c r="H26" s="29">
        <f t="shared" si="0"/>
        <v>149497.5</v>
      </c>
      <c r="I26" s="29">
        <f t="shared" si="1"/>
        <v>5536.9444444444443</v>
      </c>
      <c r="J26" s="29">
        <f t="shared" si="2"/>
        <v>37374.375</v>
      </c>
      <c r="K26" s="29">
        <f t="shared" si="3"/>
        <v>498325</v>
      </c>
      <c r="L26" s="1"/>
    </row>
    <row r="27" spans="1:12" ht="12.6" customHeight="1" x14ac:dyDescent="0.3">
      <c r="A27" s="1"/>
      <c r="B27" s="31">
        <v>203</v>
      </c>
      <c r="C27" s="27">
        <v>67.75</v>
      </c>
      <c r="D27" s="27">
        <v>149.47</v>
      </c>
      <c r="E27" s="28">
        <v>1</v>
      </c>
      <c r="F27" s="29">
        <v>1050125</v>
      </c>
      <c r="G27" s="30"/>
      <c r="H27" s="29">
        <f t="shared" si="0"/>
        <v>157518.75</v>
      </c>
      <c r="I27" s="29">
        <f t="shared" si="1"/>
        <v>5834.0277777777774</v>
      </c>
      <c r="J27" s="29">
        <f t="shared" si="2"/>
        <v>39379.6875</v>
      </c>
      <c r="K27" s="29">
        <f t="shared" si="3"/>
        <v>525062.5</v>
      </c>
      <c r="L27" s="1"/>
    </row>
    <row r="28" spans="1:12" ht="12.6" customHeight="1" x14ac:dyDescent="0.3">
      <c r="A28" s="1"/>
      <c r="B28" s="96">
        <v>204</v>
      </c>
      <c r="C28" s="27">
        <v>65.430000000000007</v>
      </c>
      <c r="D28" s="27">
        <v>145.31</v>
      </c>
      <c r="E28" s="28">
        <v>1</v>
      </c>
      <c r="F28" s="29">
        <v>1014165.0000000001</v>
      </c>
      <c r="G28" s="30"/>
      <c r="H28" s="29">
        <f t="shared" si="0"/>
        <v>152124.75</v>
      </c>
      <c r="I28" s="29">
        <f t="shared" si="1"/>
        <v>5634.2500000000009</v>
      </c>
      <c r="J28" s="29">
        <f t="shared" si="2"/>
        <v>38031.1875</v>
      </c>
      <c r="K28" s="29">
        <f t="shared" si="3"/>
        <v>507082.50000000006</v>
      </c>
      <c r="L28" s="1"/>
    </row>
    <row r="29" spans="1:12" ht="12.6" customHeight="1" x14ac:dyDescent="0.3">
      <c r="A29" s="1"/>
      <c r="B29" s="96">
        <v>205</v>
      </c>
      <c r="C29" s="27">
        <v>64.3</v>
      </c>
      <c r="D29" s="27">
        <v>143.41999999999999</v>
      </c>
      <c r="E29" s="28">
        <v>1</v>
      </c>
      <c r="F29" s="29">
        <v>996650</v>
      </c>
      <c r="G29" s="30"/>
      <c r="H29" s="29">
        <f t="shared" si="0"/>
        <v>149497.5</v>
      </c>
      <c r="I29" s="29">
        <f t="shared" si="1"/>
        <v>5536.9444444444443</v>
      </c>
      <c r="J29" s="29">
        <f t="shared" si="2"/>
        <v>37374.375</v>
      </c>
      <c r="K29" s="29">
        <f t="shared" si="3"/>
        <v>498325</v>
      </c>
      <c r="L29" s="1"/>
    </row>
    <row r="30" spans="1:12" ht="12.6" customHeight="1" x14ac:dyDescent="0.3">
      <c r="A30" s="1"/>
      <c r="B30" s="96">
        <v>206</v>
      </c>
      <c r="C30" s="27">
        <v>69.989999999999995</v>
      </c>
      <c r="D30" s="27">
        <v>153.54</v>
      </c>
      <c r="E30" s="28">
        <v>1</v>
      </c>
      <c r="F30" s="29">
        <v>1084845</v>
      </c>
      <c r="G30" s="30"/>
      <c r="H30" s="29">
        <f t="shared" si="0"/>
        <v>162726.75</v>
      </c>
      <c r="I30" s="29">
        <f t="shared" si="1"/>
        <v>6026.916666666667</v>
      </c>
      <c r="J30" s="29">
        <f t="shared" si="2"/>
        <v>40681.6875</v>
      </c>
      <c r="K30" s="29">
        <f t="shared" si="3"/>
        <v>542422.5</v>
      </c>
      <c r="L30" s="1"/>
    </row>
    <row r="31" spans="1:12" ht="12.6" customHeight="1" x14ac:dyDescent="0.3">
      <c r="A31" s="1"/>
      <c r="B31" s="96">
        <v>207</v>
      </c>
      <c r="C31" s="27">
        <v>69.989999999999995</v>
      </c>
      <c r="D31" s="27">
        <v>153.54</v>
      </c>
      <c r="E31" s="28">
        <v>1</v>
      </c>
      <c r="F31" s="29">
        <v>1084845</v>
      </c>
      <c r="G31" s="30"/>
      <c r="H31" s="29">
        <f t="shared" si="0"/>
        <v>162726.75</v>
      </c>
      <c r="I31" s="29">
        <f t="shared" si="1"/>
        <v>6026.916666666667</v>
      </c>
      <c r="J31" s="29">
        <f t="shared" si="2"/>
        <v>40681.6875</v>
      </c>
      <c r="K31" s="29">
        <f t="shared" si="3"/>
        <v>542422.5</v>
      </c>
      <c r="L31" s="1"/>
    </row>
    <row r="32" spans="1:12" ht="12.6" customHeight="1" x14ac:dyDescent="0.3">
      <c r="A32" s="1"/>
      <c r="B32" s="96">
        <v>208</v>
      </c>
      <c r="C32" s="27">
        <v>64.3</v>
      </c>
      <c r="D32" s="27">
        <v>143.41999999999999</v>
      </c>
      <c r="E32" s="28">
        <v>1</v>
      </c>
      <c r="F32" s="29">
        <v>1006616.5</v>
      </c>
      <c r="G32" s="30"/>
      <c r="H32" s="29">
        <f t="shared" si="0"/>
        <v>150992.47500000001</v>
      </c>
      <c r="I32" s="29">
        <f t="shared" si="1"/>
        <v>5592.3138888888898</v>
      </c>
      <c r="J32" s="29">
        <f t="shared" si="2"/>
        <v>37748.118750000001</v>
      </c>
      <c r="K32" s="29">
        <f t="shared" si="3"/>
        <v>503308.25</v>
      </c>
      <c r="L32" s="1"/>
    </row>
    <row r="33" spans="1:12" ht="12.6" customHeight="1" x14ac:dyDescent="0.3">
      <c r="A33" s="1"/>
      <c r="B33" s="96">
        <v>209</v>
      </c>
      <c r="C33" s="27">
        <v>64.22</v>
      </c>
      <c r="D33" s="27">
        <v>143.19</v>
      </c>
      <c r="E33" s="28">
        <v>1</v>
      </c>
      <c r="F33" s="29">
        <v>1005364.1</v>
      </c>
      <c r="G33" s="30"/>
      <c r="H33" s="29">
        <f t="shared" si="0"/>
        <v>150804.61499999999</v>
      </c>
      <c r="I33" s="29">
        <f t="shared" si="1"/>
        <v>5585.3561111111112</v>
      </c>
      <c r="J33" s="29">
        <f t="shared" si="2"/>
        <v>37701.153749999998</v>
      </c>
      <c r="K33" s="29">
        <f t="shared" si="3"/>
        <v>502682.05</v>
      </c>
      <c r="L33" s="1"/>
    </row>
    <row r="34" spans="1:12" ht="12.6" customHeight="1" x14ac:dyDescent="0.3">
      <c r="A34" s="1"/>
      <c r="B34" s="96">
        <v>210</v>
      </c>
      <c r="C34" s="27">
        <v>67.44</v>
      </c>
      <c r="D34" s="27">
        <v>149.01</v>
      </c>
      <c r="E34" s="28">
        <v>1</v>
      </c>
      <c r="F34" s="29">
        <v>1055773.2</v>
      </c>
      <c r="G34" s="30"/>
      <c r="H34" s="29">
        <f t="shared" si="0"/>
        <v>158365.97999999998</v>
      </c>
      <c r="I34" s="29">
        <f t="shared" si="1"/>
        <v>5865.4066666666668</v>
      </c>
      <c r="J34" s="29">
        <f t="shared" si="2"/>
        <v>39591.494999999995</v>
      </c>
      <c r="K34" s="29">
        <f t="shared" si="3"/>
        <v>527886.6</v>
      </c>
      <c r="L34" s="1"/>
    </row>
    <row r="35" spans="1:12" ht="12.6" customHeight="1" x14ac:dyDescent="0.3">
      <c r="A35" s="1"/>
      <c r="B35" s="96">
        <v>211</v>
      </c>
      <c r="C35" s="27">
        <v>67.44</v>
      </c>
      <c r="D35" s="27">
        <v>149.01</v>
      </c>
      <c r="E35" s="28">
        <v>1</v>
      </c>
      <c r="F35" s="29">
        <v>1055773.2</v>
      </c>
      <c r="G35" s="30"/>
      <c r="H35" s="29">
        <f t="shared" si="0"/>
        <v>158365.97999999998</v>
      </c>
      <c r="I35" s="29">
        <f t="shared" si="1"/>
        <v>5865.4066666666668</v>
      </c>
      <c r="J35" s="29">
        <f t="shared" si="2"/>
        <v>39591.494999999995</v>
      </c>
      <c r="K35" s="29">
        <f t="shared" si="3"/>
        <v>527886.6</v>
      </c>
      <c r="L35" s="1"/>
    </row>
    <row r="36" spans="1:12" ht="12.6" customHeight="1" x14ac:dyDescent="0.3">
      <c r="A36" s="1"/>
      <c r="B36" s="96">
        <v>212</v>
      </c>
      <c r="C36" s="27">
        <v>68.62</v>
      </c>
      <c r="D36" s="27">
        <v>151.1</v>
      </c>
      <c r="E36" s="28">
        <v>1</v>
      </c>
      <c r="F36" s="29">
        <v>1074246.1000000001</v>
      </c>
      <c r="G36" s="30"/>
      <c r="H36" s="29">
        <f t="shared" si="0"/>
        <v>161136.91500000001</v>
      </c>
      <c r="I36" s="29">
        <f t="shared" si="1"/>
        <v>5968.03388888889</v>
      </c>
      <c r="J36" s="29">
        <f t="shared" si="2"/>
        <v>40284.228750000002</v>
      </c>
      <c r="K36" s="29">
        <f t="shared" si="3"/>
        <v>537123.05000000005</v>
      </c>
      <c r="L36" s="1"/>
    </row>
    <row r="37" spans="1:12" ht="12.6" customHeight="1" x14ac:dyDescent="0.3">
      <c r="A37" s="1"/>
      <c r="B37" s="31">
        <v>213</v>
      </c>
      <c r="C37" s="27">
        <v>65.39</v>
      </c>
      <c r="D37" s="27">
        <v>145.27000000000001</v>
      </c>
      <c r="E37" s="28">
        <v>1</v>
      </c>
      <c r="F37" s="29">
        <v>1023680.45</v>
      </c>
      <c r="G37" s="30"/>
      <c r="H37" s="29">
        <f t="shared" si="0"/>
        <v>153552.06749999998</v>
      </c>
      <c r="I37" s="29">
        <f t="shared" si="1"/>
        <v>5687.1136111111109</v>
      </c>
      <c r="J37" s="29">
        <f t="shared" si="2"/>
        <v>38388.016874999994</v>
      </c>
      <c r="K37" s="29">
        <f t="shared" si="3"/>
        <v>511840.22499999998</v>
      </c>
      <c r="L37" s="1"/>
    </row>
    <row r="38" spans="1:12" ht="12.6" customHeight="1" x14ac:dyDescent="0.3">
      <c r="A38" s="1"/>
      <c r="B38" s="31">
        <v>214</v>
      </c>
      <c r="C38" s="27">
        <v>64.3</v>
      </c>
      <c r="D38" s="27">
        <v>143.41999999999999</v>
      </c>
      <c r="E38" s="28">
        <v>1</v>
      </c>
      <c r="F38" s="29">
        <v>1006616.5</v>
      </c>
      <c r="G38" s="30"/>
      <c r="H38" s="29">
        <f t="shared" si="0"/>
        <v>150992.47500000001</v>
      </c>
      <c r="I38" s="29">
        <f t="shared" si="1"/>
        <v>5592.3138888888898</v>
      </c>
      <c r="J38" s="29">
        <f t="shared" si="2"/>
        <v>37748.118750000001</v>
      </c>
      <c r="K38" s="29">
        <f t="shared" si="3"/>
        <v>503308.25</v>
      </c>
      <c r="L38" s="1"/>
    </row>
    <row r="39" spans="1:12" ht="12.6" customHeight="1" x14ac:dyDescent="0.3">
      <c r="A39" s="1"/>
      <c r="B39" s="32">
        <v>215</v>
      </c>
      <c r="C39" s="27">
        <v>69.989999999999995</v>
      </c>
      <c r="D39" s="27">
        <v>153.54</v>
      </c>
      <c r="E39" s="28">
        <v>1</v>
      </c>
      <c r="F39" s="29">
        <v>1095693.45</v>
      </c>
      <c r="G39" s="30"/>
      <c r="H39" s="29">
        <f t="shared" si="0"/>
        <v>164354.01749999999</v>
      </c>
      <c r="I39" s="29">
        <f t="shared" si="1"/>
        <v>6087.185833333333</v>
      </c>
      <c r="J39" s="29">
        <f t="shared" si="2"/>
        <v>41088.504374999997</v>
      </c>
      <c r="K39" s="29">
        <f t="shared" si="3"/>
        <v>547846.72499999998</v>
      </c>
      <c r="L39" s="1"/>
    </row>
    <row r="40" spans="1:12" ht="12.6" customHeight="1" thickBot="1" x14ac:dyDescent="0.35">
      <c r="A40" s="1"/>
      <c r="B40" s="33"/>
      <c r="C40" s="34"/>
      <c r="D40" s="34"/>
      <c r="E40" s="35"/>
      <c r="F40" s="36"/>
      <c r="G40" s="24"/>
      <c r="H40" s="36"/>
      <c r="I40" s="36"/>
      <c r="J40" s="36"/>
      <c r="K40" s="36"/>
      <c r="L40" s="1"/>
    </row>
    <row r="41" spans="1:12" ht="15" thickTop="1" x14ac:dyDescent="0.3">
      <c r="A41" s="1"/>
      <c r="B41" s="78" t="str">
        <f>B2</f>
        <v xml:space="preserve"> Empreendimento: Cuiabá Medical Center</v>
      </c>
      <c r="C41" s="2"/>
      <c r="D41" s="72"/>
      <c r="E41" s="3"/>
      <c r="F41" s="3"/>
      <c r="G41" s="3"/>
      <c r="H41" s="3"/>
      <c r="I41" s="37"/>
      <c r="J41" s="103" t="str">
        <f>J2</f>
        <v>Tabela de Vendas – Vigência: Até 30/04/2026</v>
      </c>
      <c r="K41" s="104"/>
      <c r="L41" s="1"/>
    </row>
    <row r="42" spans="1:12" ht="15" thickBot="1" x14ac:dyDescent="0.35">
      <c r="A42" s="1"/>
      <c r="B42" s="80" t="str">
        <f>B3</f>
        <v xml:space="preserve"> Endereço : Rua Tanzania, Jardim Aclimação</v>
      </c>
      <c r="C42" s="38"/>
      <c r="D42" s="75"/>
      <c r="E42" s="39"/>
      <c r="F42" s="39"/>
      <c r="G42" s="39"/>
      <c r="H42" s="39"/>
      <c r="I42" s="39"/>
      <c r="J42" s="105"/>
      <c r="K42" s="106"/>
      <c r="L42" s="1"/>
    </row>
    <row r="43" spans="1:12" ht="3.6" customHeight="1" thickTop="1" thickBot="1" x14ac:dyDescent="0.35">
      <c r="A43" s="1"/>
      <c r="B43" s="41"/>
      <c r="C43" s="40"/>
      <c r="D43" s="76"/>
      <c r="E43" s="41"/>
      <c r="F43" s="41"/>
      <c r="G43" s="41"/>
      <c r="H43" s="41"/>
      <c r="I43" s="41"/>
      <c r="J43" s="41"/>
      <c r="K43" s="42"/>
      <c r="L43" s="1"/>
    </row>
    <row r="44" spans="1:12" ht="15.6" thickTop="1" thickBot="1" x14ac:dyDescent="0.35">
      <c r="A44" s="1"/>
      <c r="B44" s="108" t="s">
        <v>2</v>
      </c>
      <c r="C44" s="109"/>
      <c r="D44" s="109"/>
      <c r="E44" s="109"/>
      <c r="F44" s="109"/>
      <c r="G44" s="109"/>
      <c r="H44" s="109"/>
      <c r="I44" s="109"/>
      <c r="J44" s="109"/>
      <c r="K44" s="110"/>
      <c r="L44" s="1"/>
    </row>
    <row r="45" spans="1:12" ht="3.6" customHeight="1" thickTop="1" thickBot="1" x14ac:dyDescent="0.35">
      <c r="A45" s="1"/>
      <c r="B45" s="43"/>
      <c r="C45" s="44"/>
      <c r="D45" s="22"/>
      <c r="E45" s="43"/>
      <c r="F45" s="45"/>
      <c r="G45" s="45"/>
      <c r="H45" s="45"/>
      <c r="I45" s="46"/>
      <c r="J45" s="46"/>
      <c r="K45" s="46"/>
      <c r="L45" s="1"/>
    </row>
    <row r="46" spans="1:12" ht="15.6" thickTop="1" thickBot="1" x14ac:dyDescent="0.35">
      <c r="A46" s="1"/>
      <c r="B46" s="111" t="s">
        <v>3</v>
      </c>
      <c r="C46" s="112" t="s">
        <v>4</v>
      </c>
      <c r="D46" s="102" t="s">
        <v>5</v>
      </c>
      <c r="E46" s="102" t="s">
        <v>6</v>
      </c>
      <c r="F46" s="102" t="s">
        <v>7</v>
      </c>
      <c r="G46" s="35"/>
      <c r="H46" s="102" t="s">
        <v>8</v>
      </c>
      <c r="I46" s="101" t="s">
        <v>9</v>
      </c>
      <c r="J46" s="101"/>
      <c r="K46" s="101"/>
      <c r="L46" s="1"/>
    </row>
    <row r="47" spans="1:12" ht="24" x14ac:dyDescent="0.3">
      <c r="A47" s="1"/>
      <c r="B47" s="111"/>
      <c r="C47" s="112"/>
      <c r="D47" s="102"/>
      <c r="E47" s="102"/>
      <c r="F47" s="102"/>
      <c r="G47" s="35"/>
      <c r="H47" s="102"/>
      <c r="I47" s="87" t="s">
        <v>10</v>
      </c>
      <c r="J47" s="87" t="s">
        <v>13</v>
      </c>
      <c r="K47" s="87" t="s">
        <v>12</v>
      </c>
      <c r="L47" s="1"/>
    </row>
    <row r="48" spans="1:12" ht="12" customHeight="1" thickTop="1" x14ac:dyDescent="0.3">
      <c r="A48" s="1"/>
      <c r="B48" s="81"/>
      <c r="C48" s="47"/>
      <c r="D48" s="48"/>
      <c r="E48" s="49"/>
      <c r="F48" s="50"/>
      <c r="G48" s="22"/>
      <c r="H48" s="51"/>
      <c r="I48" s="51"/>
      <c r="J48" s="51"/>
      <c r="K48" s="52"/>
      <c r="L48" s="1"/>
    </row>
    <row r="49" spans="1:12" ht="12" customHeight="1" x14ac:dyDescent="0.3">
      <c r="A49" s="1"/>
      <c r="B49" s="99">
        <v>301</v>
      </c>
      <c r="C49" s="19">
        <v>69.989999999999995</v>
      </c>
      <c r="D49" s="19">
        <v>153.54</v>
      </c>
      <c r="E49" s="20">
        <v>1</v>
      </c>
      <c r="F49" s="21">
        <v>1084845</v>
      </c>
      <c r="G49" s="22"/>
      <c r="H49" s="21">
        <f>F49*H$9</f>
        <v>162726.75</v>
      </c>
      <c r="I49" s="21">
        <f>(F49*I$9)/36</f>
        <v>6026.916666666667</v>
      </c>
      <c r="J49" s="21">
        <f>(F49*J$9)/4</f>
        <v>40681.6875</v>
      </c>
      <c r="K49" s="21">
        <f>F49*K$9</f>
        <v>542422.5</v>
      </c>
      <c r="L49" s="1"/>
    </row>
    <row r="50" spans="1:12" ht="12" customHeight="1" x14ac:dyDescent="0.3">
      <c r="A50" s="1"/>
      <c r="B50" s="53">
        <v>302</v>
      </c>
      <c r="C50" s="19">
        <v>64.3</v>
      </c>
      <c r="D50" s="19">
        <v>143.41999999999999</v>
      </c>
      <c r="E50" s="20">
        <v>1</v>
      </c>
      <c r="F50" s="21">
        <v>996650</v>
      </c>
      <c r="G50" s="22"/>
      <c r="H50" s="21">
        <f t="shared" ref="H50:H74" si="4">F50*H$9</f>
        <v>149497.5</v>
      </c>
      <c r="I50" s="21">
        <f t="shared" ref="I50:I74" si="5">(F50*I$9)/36</f>
        <v>5536.9444444444443</v>
      </c>
      <c r="J50" s="21">
        <f t="shared" ref="J50:J74" si="6">(F50*J$9)/4</f>
        <v>37374.375</v>
      </c>
      <c r="K50" s="21">
        <f t="shared" ref="K50:K74" si="7">F50*K$9</f>
        <v>498325</v>
      </c>
      <c r="L50" s="1"/>
    </row>
    <row r="51" spans="1:12" ht="12" customHeight="1" x14ac:dyDescent="0.3">
      <c r="A51" s="1"/>
      <c r="B51" s="53">
        <v>303</v>
      </c>
      <c r="C51" s="19">
        <v>67.75</v>
      </c>
      <c r="D51" s="19">
        <v>149.47</v>
      </c>
      <c r="E51" s="20">
        <v>1</v>
      </c>
      <c r="F51" s="21">
        <v>1050125</v>
      </c>
      <c r="G51" s="24"/>
      <c r="H51" s="21">
        <f t="shared" si="4"/>
        <v>157518.75</v>
      </c>
      <c r="I51" s="21">
        <f t="shared" si="5"/>
        <v>5834.0277777777774</v>
      </c>
      <c r="J51" s="21">
        <f t="shared" si="6"/>
        <v>39379.6875</v>
      </c>
      <c r="K51" s="21">
        <f t="shared" si="7"/>
        <v>525062.5</v>
      </c>
      <c r="L51" s="1"/>
    </row>
    <row r="52" spans="1:12" ht="12" customHeight="1" x14ac:dyDescent="0.3">
      <c r="A52" s="1"/>
      <c r="B52" s="53">
        <v>304</v>
      </c>
      <c r="C52" s="19">
        <v>65.430000000000007</v>
      </c>
      <c r="D52" s="19">
        <v>145.31</v>
      </c>
      <c r="E52" s="20">
        <v>1</v>
      </c>
      <c r="F52" s="21">
        <v>1014165.0000000001</v>
      </c>
      <c r="G52" s="24"/>
      <c r="H52" s="21">
        <f t="shared" si="4"/>
        <v>152124.75</v>
      </c>
      <c r="I52" s="21">
        <f t="shared" si="5"/>
        <v>5634.2500000000009</v>
      </c>
      <c r="J52" s="21">
        <f t="shared" si="6"/>
        <v>38031.1875</v>
      </c>
      <c r="K52" s="21">
        <f t="shared" si="7"/>
        <v>507082.50000000006</v>
      </c>
      <c r="L52" s="1"/>
    </row>
    <row r="53" spans="1:12" ht="12" customHeight="1" x14ac:dyDescent="0.3">
      <c r="A53" s="1"/>
      <c r="B53" s="53">
        <v>305</v>
      </c>
      <c r="C53" s="19">
        <v>64.3</v>
      </c>
      <c r="D53" s="19">
        <v>143.41999999999999</v>
      </c>
      <c r="E53" s="20">
        <v>1</v>
      </c>
      <c r="F53" s="21">
        <v>996650</v>
      </c>
      <c r="G53" s="24"/>
      <c r="H53" s="21">
        <f t="shared" si="4"/>
        <v>149497.5</v>
      </c>
      <c r="I53" s="21">
        <f t="shared" si="5"/>
        <v>5536.9444444444443</v>
      </c>
      <c r="J53" s="21">
        <f t="shared" si="6"/>
        <v>37374.375</v>
      </c>
      <c r="K53" s="21">
        <f t="shared" si="7"/>
        <v>498325</v>
      </c>
      <c r="L53" s="1"/>
    </row>
    <row r="54" spans="1:12" ht="12" customHeight="1" x14ac:dyDescent="0.3">
      <c r="A54" s="1"/>
      <c r="B54" s="53">
        <v>306</v>
      </c>
      <c r="C54" s="19">
        <v>69.989999999999995</v>
      </c>
      <c r="D54" s="19">
        <v>153.54</v>
      </c>
      <c r="E54" s="20">
        <v>1</v>
      </c>
      <c r="F54" s="21">
        <v>1084845</v>
      </c>
      <c r="G54" s="24"/>
      <c r="H54" s="21">
        <f t="shared" si="4"/>
        <v>162726.75</v>
      </c>
      <c r="I54" s="21">
        <f t="shared" si="5"/>
        <v>6026.916666666667</v>
      </c>
      <c r="J54" s="21">
        <f t="shared" si="6"/>
        <v>40681.6875</v>
      </c>
      <c r="K54" s="21">
        <f t="shared" si="7"/>
        <v>542422.5</v>
      </c>
      <c r="L54" s="1"/>
    </row>
    <row r="55" spans="1:12" ht="12" customHeight="1" x14ac:dyDescent="0.3">
      <c r="A55" s="1"/>
      <c r="B55" s="53">
        <v>307</v>
      </c>
      <c r="C55" s="19">
        <v>69.989999999999995</v>
      </c>
      <c r="D55" s="19">
        <v>153.54</v>
      </c>
      <c r="E55" s="20">
        <v>1</v>
      </c>
      <c r="F55" s="21">
        <v>1095693.45</v>
      </c>
      <c r="G55" s="24"/>
      <c r="H55" s="21">
        <f t="shared" si="4"/>
        <v>164354.01749999999</v>
      </c>
      <c r="I55" s="21">
        <f t="shared" si="5"/>
        <v>6087.185833333333</v>
      </c>
      <c r="J55" s="21">
        <f t="shared" si="6"/>
        <v>41088.504374999997</v>
      </c>
      <c r="K55" s="21">
        <f t="shared" si="7"/>
        <v>547846.72499999998</v>
      </c>
      <c r="L55" s="1"/>
    </row>
    <row r="56" spans="1:12" ht="12" customHeight="1" x14ac:dyDescent="0.3">
      <c r="A56" s="1"/>
      <c r="B56" s="53">
        <v>308</v>
      </c>
      <c r="C56" s="19">
        <v>64.3</v>
      </c>
      <c r="D56" s="19">
        <v>143.41999999999999</v>
      </c>
      <c r="E56" s="20">
        <v>1</v>
      </c>
      <c r="F56" s="21">
        <v>1006616.5</v>
      </c>
      <c r="G56" s="24"/>
      <c r="H56" s="21">
        <f t="shared" si="4"/>
        <v>150992.47500000001</v>
      </c>
      <c r="I56" s="21">
        <f t="shared" si="5"/>
        <v>5592.3138888888898</v>
      </c>
      <c r="J56" s="21">
        <f t="shared" si="6"/>
        <v>37748.118750000001</v>
      </c>
      <c r="K56" s="21">
        <f t="shared" si="7"/>
        <v>503308.25</v>
      </c>
      <c r="L56" s="1"/>
    </row>
    <row r="57" spans="1:12" ht="12" customHeight="1" x14ac:dyDescent="0.3">
      <c r="A57" s="1"/>
      <c r="B57" s="53">
        <v>309</v>
      </c>
      <c r="C57" s="19">
        <v>64.22</v>
      </c>
      <c r="D57" s="19">
        <v>143.19</v>
      </c>
      <c r="E57" s="20">
        <v>1</v>
      </c>
      <c r="F57" s="21">
        <v>1005364.1</v>
      </c>
      <c r="G57" s="24"/>
      <c r="H57" s="21">
        <f t="shared" si="4"/>
        <v>150804.61499999999</v>
      </c>
      <c r="I57" s="21">
        <f t="shared" si="5"/>
        <v>5585.3561111111112</v>
      </c>
      <c r="J57" s="21">
        <f t="shared" si="6"/>
        <v>37701.153749999998</v>
      </c>
      <c r="K57" s="21">
        <f t="shared" si="7"/>
        <v>502682.05</v>
      </c>
      <c r="L57" s="1"/>
    </row>
    <row r="58" spans="1:12" ht="12" customHeight="1" x14ac:dyDescent="0.3">
      <c r="A58" s="1"/>
      <c r="B58" s="53">
        <v>310</v>
      </c>
      <c r="C58" s="19">
        <v>67.44</v>
      </c>
      <c r="D58" s="19">
        <v>149.01</v>
      </c>
      <c r="E58" s="20">
        <v>1</v>
      </c>
      <c r="F58" s="21">
        <v>1055773.2</v>
      </c>
      <c r="G58" s="24"/>
      <c r="H58" s="21">
        <f t="shared" si="4"/>
        <v>158365.97999999998</v>
      </c>
      <c r="I58" s="21">
        <f t="shared" si="5"/>
        <v>5865.4066666666668</v>
      </c>
      <c r="J58" s="21">
        <f t="shared" si="6"/>
        <v>39591.494999999995</v>
      </c>
      <c r="K58" s="21">
        <f t="shared" si="7"/>
        <v>527886.6</v>
      </c>
      <c r="L58" s="1"/>
    </row>
    <row r="59" spans="1:12" ht="12" customHeight="1" x14ac:dyDescent="0.3">
      <c r="A59" s="1"/>
      <c r="B59" s="53">
        <v>311</v>
      </c>
      <c r="C59" s="19">
        <v>67.44</v>
      </c>
      <c r="D59" s="19">
        <v>149.01</v>
      </c>
      <c r="E59" s="20">
        <v>1</v>
      </c>
      <c r="F59" s="21">
        <v>1055773.2</v>
      </c>
      <c r="G59" s="22"/>
      <c r="H59" s="21">
        <f t="shared" si="4"/>
        <v>158365.97999999998</v>
      </c>
      <c r="I59" s="21">
        <f t="shared" si="5"/>
        <v>5865.4066666666668</v>
      </c>
      <c r="J59" s="21">
        <f t="shared" si="6"/>
        <v>39591.494999999995</v>
      </c>
      <c r="K59" s="21">
        <f t="shared" si="7"/>
        <v>527886.6</v>
      </c>
      <c r="L59" s="1"/>
    </row>
    <row r="60" spans="1:12" ht="12" customHeight="1" x14ac:dyDescent="0.3">
      <c r="A60" s="1"/>
      <c r="B60" s="53">
        <v>312</v>
      </c>
      <c r="C60" s="19">
        <v>68.62</v>
      </c>
      <c r="D60" s="19">
        <v>151.1</v>
      </c>
      <c r="E60" s="20">
        <v>1</v>
      </c>
      <c r="F60" s="21">
        <v>1074246.1000000001</v>
      </c>
      <c r="G60" s="22"/>
      <c r="H60" s="21">
        <f t="shared" si="4"/>
        <v>161136.91500000001</v>
      </c>
      <c r="I60" s="21">
        <f t="shared" si="5"/>
        <v>5968.03388888889</v>
      </c>
      <c r="J60" s="21">
        <f t="shared" si="6"/>
        <v>40284.228750000002</v>
      </c>
      <c r="K60" s="21">
        <f t="shared" si="7"/>
        <v>537123.05000000005</v>
      </c>
      <c r="L60" s="1"/>
    </row>
    <row r="61" spans="1:12" ht="12" customHeight="1" x14ac:dyDescent="0.3">
      <c r="A61" s="1"/>
      <c r="B61" s="53">
        <v>313</v>
      </c>
      <c r="C61" s="19">
        <v>65.39</v>
      </c>
      <c r="D61" s="19">
        <v>145.27000000000001</v>
      </c>
      <c r="E61" s="20">
        <v>1</v>
      </c>
      <c r="F61" s="21">
        <v>1023680.45</v>
      </c>
      <c r="G61" s="22"/>
      <c r="H61" s="21">
        <f t="shared" si="4"/>
        <v>153552.06749999998</v>
      </c>
      <c r="I61" s="21">
        <f t="shared" si="5"/>
        <v>5687.1136111111109</v>
      </c>
      <c r="J61" s="21">
        <f t="shared" si="6"/>
        <v>38388.016874999994</v>
      </c>
      <c r="K61" s="21">
        <f t="shared" si="7"/>
        <v>511840.22499999998</v>
      </c>
      <c r="L61" s="1"/>
    </row>
    <row r="62" spans="1:12" ht="12" customHeight="1" x14ac:dyDescent="0.3">
      <c r="A62" s="1"/>
      <c r="B62" s="53">
        <v>314</v>
      </c>
      <c r="C62" s="19">
        <v>64.3</v>
      </c>
      <c r="D62" s="19">
        <v>143.41999999999999</v>
      </c>
      <c r="E62" s="20">
        <v>1</v>
      </c>
      <c r="F62" s="21">
        <v>1006616.5</v>
      </c>
      <c r="G62" s="22"/>
      <c r="H62" s="21">
        <f t="shared" si="4"/>
        <v>150992.47500000001</v>
      </c>
      <c r="I62" s="21">
        <f t="shared" si="5"/>
        <v>5592.3138888888898</v>
      </c>
      <c r="J62" s="21">
        <f t="shared" si="6"/>
        <v>37748.118750000001</v>
      </c>
      <c r="K62" s="21">
        <f t="shared" si="7"/>
        <v>503308.25</v>
      </c>
      <c r="L62" s="1"/>
    </row>
    <row r="63" spans="1:12" ht="12" customHeight="1" x14ac:dyDescent="0.3">
      <c r="A63" s="1"/>
      <c r="B63" s="53">
        <v>315</v>
      </c>
      <c r="C63" s="19">
        <v>69.989999999999995</v>
      </c>
      <c r="D63" s="19">
        <v>153.54</v>
      </c>
      <c r="E63" s="20">
        <v>1</v>
      </c>
      <c r="F63" s="21">
        <v>1095693.45</v>
      </c>
      <c r="G63" s="24"/>
      <c r="H63" s="21">
        <f t="shared" si="4"/>
        <v>164354.01749999999</v>
      </c>
      <c r="I63" s="21">
        <f t="shared" si="5"/>
        <v>6087.185833333333</v>
      </c>
      <c r="J63" s="21">
        <f t="shared" si="6"/>
        <v>41088.504374999997</v>
      </c>
      <c r="K63" s="21">
        <f t="shared" si="7"/>
        <v>547846.72499999998</v>
      </c>
      <c r="L63" s="1"/>
    </row>
    <row r="64" spans="1:12" ht="12" customHeight="1" x14ac:dyDescent="0.3">
      <c r="A64" s="1"/>
      <c r="B64" s="97">
        <v>401</v>
      </c>
      <c r="C64" s="27">
        <v>69.989999999999995</v>
      </c>
      <c r="D64" s="27">
        <v>153.54</v>
      </c>
      <c r="E64" s="28">
        <v>1</v>
      </c>
      <c r="F64" s="29">
        <v>1090269.2249999999</v>
      </c>
      <c r="G64" s="30"/>
      <c r="H64" s="29">
        <f t="shared" si="4"/>
        <v>163540.38374999998</v>
      </c>
      <c r="I64" s="29">
        <f t="shared" si="5"/>
        <v>6057.0512499999995</v>
      </c>
      <c r="J64" s="29">
        <f t="shared" si="6"/>
        <v>40885.095937499995</v>
      </c>
      <c r="K64" s="29">
        <f t="shared" si="7"/>
        <v>545134.61249999993</v>
      </c>
      <c r="L64" s="1"/>
    </row>
    <row r="65" spans="1:12" ht="12" customHeight="1" x14ac:dyDescent="0.3">
      <c r="A65" s="1"/>
      <c r="B65" s="96">
        <v>402</v>
      </c>
      <c r="C65" s="27">
        <v>64.3</v>
      </c>
      <c r="D65" s="27">
        <v>143.41999999999999</v>
      </c>
      <c r="E65" s="28">
        <v>1</v>
      </c>
      <c r="F65" s="29">
        <v>1001633.2499999999</v>
      </c>
      <c r="G65" s="30"/>
      <c r="H65" s="29">
        <f t="shared" si="4"/>
        <v>150244.98749999999</v>
      </c>
      <c r="I65" s="29">
        <f t="shared" si="5"/>
        <v>5564.6291666666666</v>
      </c>
      <c r="J65" s="29">
        <f t="shared" si="6"/>
        <v>37561.246874999997</v>
      </c>
      <c r="K65" s="29">
        <f t="shared" si="7"/>
        <v>500816.62499999994</v>
      </c>
      <c r="L65" s="1"/>
    </row>
    <row r="66" spans="1:12" ht="12" customHeight="1" x14ac:dyDescent="0.3">
      <c r="A66" s="1"/>
      <c r="B66" s="26">
        <v>403</v>
      </c>
      <c r="C66" s="27">
        <v>67.75</v>
      </c>
      <c r="D66" s="27">
        <v>149.47</v>
      </c>
      <c r="E66" s="28">
        <v>1</v>
      </c>
      <c r="F66" s="29">
        <v>1055375.625</v>
      </c>
      <c r="G66" s="30"/>
      <c r="H66" s="29">
        <f t="shared" si="4"/>
        <v>158306.34375</v>
      </c>
      <c r="I66" s="29">
        <f t="shared" si="5"/>
        <v>5863.197916666667</v>
      </c>
      <c r="J66" s="29">
        <f t="shared" si="6"/>
        <v>39576.5859375</v>
      </c>
      <c r="K66" s="29">
        <f t="shared" si="7"/>
        <v>527687.8125</v>
      </c>
      <c r="L66" s="1"/>
    </row>
    <row r="67" spans="1:12" ht="12" customHeight="1" x14ac:dyDescent="0.3">
      <c r="A67" s="1"/>
      <c r="B67" s="26">
        <v>404</v>
      </c>
      <c r="C67" s="27">
        <v>65.430000000000007</v>
      </c>
      <c r="D67" s="27">
        <v>145.31</v>
      </c>
      <c r="E67" s="28">
        <v>1</v>
      </c>
      <c r="F67" s="29">
        <v>1019235.825</v>
      </c>
      <c r="G67" s="30"/>
      <c r="H67" s="29">
        <f t="shared" si="4"/>
        <v>152885.37375</v>
      </c>
      <c r="I67" s="29">
        <f t="shared" si="5"/>
        <v>5662.4212500000003</v>
      </c>
      <c r="J67" s="29">
        <f t="shared" si="6"/>
        <v>38221.3434375</v>
      </c>
      <c r="K67" s="29">
        <f t="shared" si="7"/>
        <v>509617.91249999998</v>
      </c>
      <c r="L67" s="1"/>
    </row>
    <row r="68" spans="1:12" ht="12" customHeight="1" x14ac:dyDescent="0.3">
      <c r="A68" s="1"/>
      <c r="B68" s="26">
        <v>405</v>
      </c>
      <c r="C68" s="27">
        <v>64.3</v>
      </c>
      <c r="D68" s="27">
        <v>143.41999999999999</v>
      </c>
      <c r="E68" s="28">
        <v>1</v>
      </c>
      <c r="F68" s="29">
        <v>1001633.2499999999</v>
      </c>
      <c r="G68" s="30"/>
      <c r="H68" s="29">
        <f t="shared" si="4"/>
        <v>150244.98749999999</v>
      </c>
      <c r="I68" s="29">
        <f t="shared" si="5"/>
        <v>5564.6291666666666</v>
      </c>
      <c r="J68" s="29">
        <f t="shared" si="6"/>
        <v>37561.246874999997</v>
      </c>
      <c r="K68" s="29">
        <f t="shared" si="7"/>
        <v>500816.62499999994</v>
      </c>
      <c r="L68" s="1"/>
    </row>
    <row r="69" spans="1:12" ht="12" customHeight="1" x14ac:dyDescent="0.3">
      <c r="A69" s="1"/>
      <c r="B69" s="26">
        <v>406</v>
      </c>
      <c r="C69" s="27">
        <v>69.989999999999995</v>
      </c>
      <c r="D69" s="27">
        <v>153.54</v>
      </c>
      <c r="E69" s="28">
        <v>1</v>
      </c>
      <c r="F69" s="29">
        <v>1090269.2249999999</v>
      </c>
      <c r="G69" s="30"/>
      <c r="H69" s="29">
        <f t="shared" si="4"/>
        <v>163540.38374999998</v>
      </c>
      <c r="I69" s="29">
        <f t="shared" si="5"/>
        <v>6057.0512499999995</v>
      </c>
      <c r="J69" s="29">
        <f t="shared" si="6"/>
        <v>40885.095937499995</v>
      </c>
      <c r="K69" s="29">
        <f t="shared" si="7"/>
        <v>545134.61249999993</v>
      </c>
      <c r="L69" s="1"/>
    </row>
    <row r="70" spans="1:12" ht="12" customHeight="1" x14ac:dyDescent="0.3">
      <c r="A70" s="1"/>
      <c r="B70" s="26">
        <v>407</v>
      </c>
      <c r="C70" s="27">
        <v>69.989999999999995</v>
      </c>
      <c r="D70" s="27">
        <v>153.54</v>
      </c>
      <c r="E70" s="28">
        <v>1</v>
      </c>
      <c r="F70" s="29">
        <v>1101171.9172499999</v>
      </c>
      <c r="G70" s="30"/>
      <c r="H70" s="29">
        <f t="shared" si="4"/>
        <v>165175.78758749997</v>
      </c>
      <c r="I70" s="29">
        <f t="shared" si="5"/>
        <v>6117.6217624999999</v>
      </c>
      <c r="J70" s="29">
        <f t="shared" si="6"/>
        <v>41293.946896874993</v>
      </c>
      <c r="K70" s="29">
        <f t="shared" si="7"/>
        <v>550585.95862499997</v>
      </c>
      <c r="L70" s="1"/>
    </row>
    <row r="71" spans="1:12" ht="12" customHeight="1" x14ac:dyDescent="0.3">
      <c r="A71" s="1"/>
      <c r="B71" s="26">
        <v>408</v>
      </c>
      <c r="C71" s="27">
        <v>64.3</v>
      </c>
      <c r="D71" s="27">
        <v>143.41999999999999</v>
      </c>
      <c r="E71" s="28">
        <v>1</v>
      </c>
      <c r="F71" s="29">
        <v>1011649.5824999999</v>
      </c>
      <c r="G71" s="30"/>
      <c r="H71" s="29">
        <f t="shared" si="4"/>
        <v>151747.43737499998</v>
      </c>
      <c r="I71" s="29">
        <f t="shared" si="5"/>
        <v>5620.2754583333335</v>
      </c>
      <c r="J71" s="29">
        <f t="shared" si="6"/>
        <v>37936.859343749995</v>
      </c>
      <c r="K71" s="29">
        <f t="shared" si="7"/>
        <v>505824.79124999995</v>
      </c>
      <c r="L71" s="1"/>
    </row>
    <row r="72" spans="1:12" ht="12" customHeight="1" x14ac:dyDescent="0.3">
      <c r="A72" s="1"/>
      <c r="B72" s="26">
        <v>409</v>
      </c>
      <c r="C72" s="27">
        <v>64.22</v>
      </c>
      <c r="D72" s="27">
        <v>143.19</v>
      </c>
      <c r="E72" s="28">
        <v>1</v>
      </c>
      <c r="F72" s="29">
        <v>1010390.9204999999</v>
      </c>
      <c r="G72" s="30"/>
      <c r="H72" s="29">
        <f t="shared" si="4"/>
        <v>151558.63807499997</v>
      </c>
      <c r="I72" s="29">
        <f t="shared" si="5"/>
        <v>5613.2828916666658</v>
      </c>
      <c r="J72" s="29">
        <f t="shared" si="6"/>
        <v>37889.659518749992</v>
      </c>
      <c r="K72" s="29">
        <f t="shared" si="7"/>
        <v>505195.46024999995</v>
      </c>
      <c r="L72" s="1"/>
    </row>
    <row r="73" spans="1:12" ht="12" customHeight="1" x14ac:dyDescent="0.3">
      <c r="A73" s="1"/>
      <c r="B73" s="26">
        <v>410</v>
      </c>
      <c r="C73" s="27">
        <v>67.44</v>
      </c>
      <c r="D73" s="27">
        <v>149.01</v>
      </c>
      <c r="E73" s="28">
        <v>1</v>
      </c>
      <c r="F73" s="29">
        <v>1061052.0659999999</v>
      </c>
      <c r="G73" s="30"/>
      <c r="H73" s="29">
        <f t="shared" si="4"/>
        <v>159157.80989999996</v>
      </c>
      <c r="I73" s="29">
        <f t="shared" si="5"/>
        <v>5894.7336999999998</v>
      </c>
      <c r="J73" s="29">
        <f t="shared" si="6"/>
        <v>39789.452474999991</v>
      </c>
      <c r="K73" s="29">
        <f t="shared" si="7"/>
        <v>530526.03299999994</v>
      </c>
      <c r="L73" s="1"/>
    </row>
    <row r="74" spans="1:12" ht="12" customHeight="1" x14ac:dyDescent="0.3">
      <c r="A74" s="1"/>
      <c r="B74" s="26">
        <v>411</v>
      </c>
      <c r="C74" s="27">
        <v>67.44</v>
      </c>
      <c r="D74" s="27">
        <v>149.01</v>
      </c>
      <c r="E74" s="28">
        <v>1</v>
      </c>
      <c r="F74" s="29">
        <v>1061052.0659999999</v>
      </c>
      <c r="G74" s="30"/>
      <c r="H74" s="29">
        <f t="shared" si="4"/>
        <v>159157.80989999996</v>
      </c>
      <c r="I74" s="29">
        <f t="shared" si="5"/>
        <v>5894.7336999999998</v>
      </c>
      <c r="J74" s="29">
        <f t="shared" si="6"/>
        <v>39789.452474999991</v>
      </c>
      <c r="K74" s="29">
        <f t="shared" si="7"/>
        <v>530526.03299999994</v>
      </c>
      <c r="L74" s="1"/>
    </row>
    <row r="75" spans="1:12" ht="12" customHeight="1" x14ac:dyDescent="0.3">
      <c r="A75" s="1"/>
      <c r="B75" s="26">
        <v>412</v>
      </c>
      <c r="C75" s="27">
        <v>68.62</v>
      </c>
      <c r="D75" s="27">
        <v>151.1</v>
      </c>
      <c r="E75" s="28">
        <v>1</v>
      </c>
      <c r="F75" s="29">
        <v>1079617.3304999999</v>
      </c>
      <c r="G75" s="30"/>
      <c r="H75" s="29">
        <f>F75*H$9</f>
        <v>161942.59957499997</v>
      </c>
      <c r="I75" s="29">
        <f>(F75*I$9)/36</f>
        <v>5997.8740583333329</v>
      </c>
      <c r="J75" s="29">
        <f>(F75*J$9)/4</f>
        <v>40485.649893749993</v>
      </c>
      <c r="K75" s="29">
        <f>F75*K$9</f>
        <v>539808.66524999996</v>
      </c>
      <c r="L75" s="1"/>
    </row>
    <row r="76" spans="1:12" ht="12" customHeight="1" x14ac:dyDescent="0.3">
      <c r="A76" s="1"/>
      <c r="B76" s="26">
        <v>413</v>
      </c>
      <c r="C76" s="27">
        <v>65.39</v>
      </c>
      <c r="D76" s="27">
        <v>145.27000000000001</v>
      </c>
      <c r="E76" s="28">
        <v>1</v>
      </c>
      <c r="F76" s="29">
        <v>1028798.8522499999</v>
      </c>
      <c r="G76" s="30"/>
      <c r="H76" s="29">
        <f>F76*H$9</f>
        <v>154319.82783749996</v>
      </c>
      <c r="I76" s="29">
        <f>(F76*I$9)/36</f>
        <v>5715.5491791666664</v>
      </c>
      <c r="J76" s="29">
        <f>(F76*J$9)/4</f>
        <v>38579.956959374991</v>
      </c>
      <c r="K76" s="29">
        <f>F76*K$9</f>
        <v>514399.42612499994</v>
      </c>
      <c r="L76" s="1"/>
    </row>
    <row r="77" spans="1:12" ht="12" customHeight="1" x14ac:dyDescent="0.3">
      <c r="A77" s="1"/>
      <c r="B77" s="26">
        <v>414</v>
      </c>
      <c r="C77" s="27">
        <v>64.3</v>
      </c>
      <c r="D77" s="27">
        <v>143.41999999999999</v>
      </c>
      <c r="E77" s="28">
        <v>1</v>
      </c>
      <c r="F77" s="29">
        <v>1011649.5824999999</v>
      </c>
      <c r="G77" s="30"/>
      <c r="H77" s="29">
        <f>F77*H$9</f>
        <v>151747.43737499998</v>
      </c>
      <c r="I77" s="29">
        <f>(F77*I$9)/36</f>
        <v>5620.2754583333335</v>
      </c>
      <c r="J77" s="29">
        <f>(F77*J$9)/4</f>
        <v>37936.859343749995</v>
      </c>
      <c r="K77" s="29">
        <f>F77*K$9</f>
        <v>505824.79124999995</v>
      </c>
      <c r="L77" s="1"/>
    </row>
    <row r="78" spans="1:12" ht="12" customHeight="1" x14ac:dyDescent="0.3">
      <c r="A78" s="1"/>
      <c r="B78" s="56">
        <v>415</v>
      </c>
      <c r="C78" s="27">
        <v>69.989999999999995</v>
      </c>
      <c r="D78" s="27">
        <v>153.54</v>
      </c>
      <c r="E78" s="28">
        <v>1</v>
      </c>
      <c r="F78" s="29">
        <v>1101171.9172499999</v>
      </c>
      <c r="G78" s="30"/>
      <c r="H78" s="29">
        <f>F78*H$9</f>
        <v>165175.78758749997</v>
      </c>
      <c r="I78" s="29">
        <f>(F78*I$9)/36</f>
        <v>6117.6217624999999</v>
      </c>
      <c r="J78" s="29">
        <f>(F78*J$9)/4</f>
        <v>41293.946896874993</v>
      </c>
      <c r="K78" s="29">
        <f>F78*K$9</f>
        <v>550585.95862499997</v>
      </c>
      <c r="L78" s="1"/>
    </row>
    <row r="79" spans="1:12" ht="15" thickBot="1" x14ac:dyDescent="0.35">
      <c r="A79" s="1"/>
      <c r="B79" s="33"/>
      <c r="C79" s="34"/>
      <c r="D79" s="34"/>
      <c r="E79" s="35"/>
      <c r="F79" s="36"/>
      <c r="G79" s="24"/>
      <c r="H79" s="36"/>
      <c r="I79" s="36"/>
      <c r="J79" s="36"/>
      <c r="K79" s="36"/>
      <c r="L79" s="1"/>
    </row>
    <row r="80" spans="1:12" ht="15" thickTop="1" x14ac:dyDescent="0.3">
      <c r="A80" s="1"/>
      <c r="B80" s="78" t="str">
        <f>B2</f>
        <v xml:space="preserve"> Empreendimento: Cuiabá Medical Center</v>
      </c>
      <c r="C80" s="2"/>
      <c r="D80" s="72"/>
      <c r="E80" s="3"/>
      <c r="F80" s="3"/>
      <c r="G80" s="3"/>
      <c r="H80" s="3"/>
      <c r="I80" s="37"/>
      <c r="J80" s="103" t="str">
        <f>J2</f>
        <v>Tabela de Vendas – Vigência: Até 30/04/2026</v>
      </c>
      <c r="K80" s="104"/>
      <c r="L80" s="1"/>
    </row>
    <row r="81" spans="1:12" ht="15" thickBot="1" x14ac:dyDescent="0.35">
      <c r="A81" s="1"/>
      <c r="B81" s="80" t="str">
        <f>B3</f>
        <v xml:space="preserve"> Endereço : Rua Tanzania, Jardim Aclimação</v>
      </c>
      <c r="C81" s="38"/>
      <c r="D81" s="75"/>
      <c r="E81" s="39"/>
      <c r="F81" s="39"/>
      <c r="G81" s="39"/>
      <c r="H81" s="39"/>
      <c r="I81" s="39"/>
      <c r="J81" s="105"/>
      <c r="K81" s="106"/>
      <c r="L81" s="1"/>
    </row>
    <row r="82" spans="1:12" ht="3.6" customHeight="1" thickTop="1" thickBot="1" x14ac:dyDescent="0.35">
      <c r="A82" s="1"/>
      <c r="B82" s="41"/>
      <c r="C82" s="40"/>
      <c r="D82" s="76"/>
      <c r="E82" s="41"/>
      <c r="F82" s="41"/>
      <c r="G82" s="41"/>
      <c r="H82" s="41"/>
      <c r="I82" s="41"/>
      <c r="J82" s="41"/>
      <c r="K82" s="42"/>
      <c r="L82" s="1"/>
    </row>
    <row r="83" spans="1:12" ht="15.6" thickTop="1" thickBot="1" x14ac:dyDescent="0.35">
      <c r="A83" s="1"/>
      <c r="B83" s="108" t="s">
        <v>2</v>
      </c>
      <c r="C83" s="109"/>
      <c r="D83" s="109"/>
      <c r="E83" s="109"/>
      <c r="F83" s="109"/>
      <c r="G83" s="109"/>
      <c r="H83" s="109"/>
      <c r="I83" s="109"/>
      <c r="J83" s="109"/>
      <c r="K83" s="110"/>
      <c r="L83" s="1"/>
    </row>
    <row r="84" spans="1:12" ht="3.6" customHeight="1" thickTop="1" thickBot="1" x14ac:dyDescent="0.35">
      <c r="A84" s="1"/>
      <c r="B84" s="43"/>
      <c r="C84" s="44"/>
      <c r="D84" s="22"/>
      <c r="E84" s="43"/>
      <c r="F84" s="45"/>
      <c r="G84" s="45"/>
      <c r="H84" s="45"/>
      <c r="I84" s="45"/>
      <c r="J84" s="45"/>
      <c r="K84" s="45"/>
      <c r="L84" s="1"/>
    </row>
    <row r="85" spans="1:12" ht="15.6" thickTop="1" thickBot="1" x14ac:dyDescent="0.35">
      <c r="A85" s="1"/>
      <c r="B85" s="111" t="s">
        <v>3</v>
      </c>
      <c r="C85" s="112" t="s">
        <v>4</v>
      </c>
      <c r="D85" s="102" t="s">
        <v>5</v>
      </c>
      <c r="E85" s="102" t="s">
        <v>6</v>
      </c>
      <c r="F85" s="102" t="s">
        <v>7</v>
      </c>
      <c r="G85" s="35"/>
      <c r="H85" s="102" t="s">
        <v>8</v>
      </c>
      <c r="I85" s="101" t="s">
        <v>9</v>
      </c>
      <c r="J85" s="101"/>
      <c r="K85" s="101"/>
      <c r="L85" s="1"/>
    </row>
    <row r="86" spans="1:12" ht="24" x14ac:dyDescent="0.3">
      <c r="A86" s="1"/>
      <c r="B86" s="111"/>
      <c r="C86" s="112"/>
      <c r="D86" s="102"/>
      <c r="E86" s="102"/>
      <c r="F86" s="102"/>
      <c r="G86" s="35"/>
      <c r="H86" s="102"/>
      <c r="I86" s="87" t="s">
        <v>10</v>
      </c>
      <c r="J86" s="87" t="s">
        <v>13</v>
      </c>
      <c r="K86" s="87" t="s">
        <v>12</v>
      </c>
      <c r="L86" s="1"/>
    </row>
    <row r="87" spans="1:12" ht="12" customHeight="1" thickTop="1" x14ac:dyDescent="0.3">
      <c r="A87" s="1"/>
      <c r="B87" s="82"/>
      <c r="C87" s="57"/>
      <c r="D87" s="35"/>
      <c r="E87" s="35"/>
      <c r="F87" s="35"/>
      <c r="G87" s="35"/>
      <c r="H87" s="35"/>
      <c r="I87" s="35"/>
      <c r="J87" s="58"/>
      <c r="K87" s="35"/>
      <c r="L87" s="1"/>
    </row>
    <row r="88" spans="1:12" ht="12" customHeight="1" x14ac:dyDescent="0.3">
      <c r="A88" s="1"/>
      <c r="B88" s="54">
        <v>501</v>
      </c>
      <c r="C88" s="59">
        <v>69.989999999999995</v>
      </c>
      <c r="D88" s="59">
        <v>153.54</v>
      </c>
      <c r="E88" s="60">
        <v>1</v>
      </c>
      <c r="F88" s="61">
        <v>1101171.9172499999</v>
      </c>
      <c r="G88" s="62"/>
      <c r="H88" s="61">
        <f t="shared" ref="H88:H109" si="8">F88*H$9</f>
        <v>165175.78758749997</v>
      </c>
      <c r="I88" s="61">
        <f t="shared" ref="I88:I109" si="9">(F88*I$9)/36</f>
        <v>6117.6217624999999</v>
      </c>
      <c r="J88" s="61">
        <f t="shared" ref="J88:J109" si="10">(F88*J$9)/4</f>
        <v>41293.946896874993</v>
      </c>
      <c r="K88" s="61">
        <f t="shared" ref="K88:K109" si="11">F88*K$9</f>
        <v>550585.95862499997</v>
      </c>
      <c r="L88" s="1"/>
    </row>
    <row r="89" spans="1:12" ht="12" customHeight="1" x14ac:dyDescent="0.3">
      <c r="A89" s="1"/>
      <c r="B89" s="54">
        <v>502</v>
      </c>
      <c r="C89" s="59">
        <v>64.3</v>
      </c>
      <c r="D89" s="59">
        <v>143.41999999999999</v>
      </c>
      <c r="E89" s="60">
        <v>1</v>
      </c>
      <c r="F89" s="61">
        <v>1011649.5824999999</v>
      </c>
      <c r="G89" s="62"/>
      <c r="H89" s="61">
        <f t="shared" si="8"/>
        <v>151747.43737499998</v>
      </c>
      <c r="I89" s="61">
        <f t="shared" si="9"/>
        <v>5620.2754583333335</v>
      </c>
      <c r="J89" s="61">
        <f t="shared" si="10"/>
        <v>37936.859343749995</v>
      </c>
      <c r="K89" s="61">
        <f t="shared" si="11"/>
        <v>505824.79124999995</v>
      </c>
      <c r="L89" s="1"/>
    </row>
    <row r="90" spans="1:12" ht="12" customHeight="1" x14ac:dyDescent="0.3">
      <c r="A90" s="1"/>
      <c r="B90" s="54">
        <v>503</v>
      </c>
      <c r="C90" s="59">
        <v>67.75</v>
      </c>
      <c r="D90" s="59">
        <v>149.47</v>
      </c>
      <c r="E90" s="60">
        <v>1</v>
      </c>
      <c r="F90" s="61">
        <v>1065929.3812500001</v>
      </c>
      <c r="G90" s="63"/>
      <c r="H90" s="61">
        <f t="shared" si="8"/>
        <v>159889.40718750001</v>
      </c>
      <c r="I90" s="61">
        <f t="shared" si="9"/>
        <v>5921.8298958333344</v>
      </c>
      <c r="J90" s="61">
        <f t="shared" si="10"/>
        <v>39972.351796875002</v>
      </c>
      <c r="K90" s="61">
        <f t="shared" si="11"/>
        <v>532964.69062500005</v>
      </c>
      <c r="L90" s="1"/>
    </row>
    <row r="91" spans="1:12" ht="12" customHeight="1" x14ac:dyDescent="0.3">
      <c r="A91" s="1"/>
      <c r="B91" s="98">
        <v>504</v>
      </c>
      <c r="C91" s="59">
        <v>65.430000000000007</v>
      </c>
      <c r="D91" s="59">
        <v>145.31</v>
      </c>
      <c r="E91" s="60">
        <v>1</v>
      </c>
      <c r="F91" s="61">
        <v>1029428.18325</v>
      </c>
      <c r="G91" s="63"/>
      <c r="H91" s="61">
        <f t="shared" si="8"/>
        <v>154414.2274875</v>
      </c>
      <c r="I91" s="61">
        <f t="shared" si="9"/>
        <v>5719.0454625000002</v>
      </c>
      <c r="J91" s="61">
        <f t="shared" si="10"/>
        <v>38603.556871875</v>
      </c>
      <c r="K91" s="61">
        <f t="shared" si="11"/>
        <v>514714.091625</v>
      </c>
      <c r="L91" s="1"/>
    </row>
    <row r="92" spans="1:12" ht="12" customHeight="1" x14ac:dyDescent="0.3">
      <c r="A92" s="1"/>
      <c r="B92" s="98">
        <v>505</v>
      </c>
      <c r="C92" s="59">
        <v>64.3</v>
      </c>
      <c r="D92" s="59">
        <v>143.41999999999999</v>
      </c>
      <c r="E92" s="60">
        <v>1</v>
      </c>
      <c r="F92" s="61">
        <v>1011649.5824999999</v>
      </c>
      <c r="G92" s="63"/>
      <c r="H92" s="61">
        <f t="shared" si="8"/>
        <v>151747.43737499998</v>
      </c>
      <c r="I92" s="61">
        <f t="shared" si="9"/>
        <v>5620.2754583333335</v>
      </c>
      <c r="J92" s="61">
        <f t="shared" si="10"/>
        <v>37936.859343749995</v>
      </c>
      <c r="K92" s="61">
        <f t="shared" si="11"/>
        <v>505824.79124999995</v>
      </c>
      <c r="L92" s="1"/>
    </row>
    <row r="93" spans="1:12" ht="12" customHeight="1" x14ac:dyDescent="0.3">
      <c r="A93" s="1"/>
      <c r="B93" s="98">
        <v>506</v>
      </c>
      <c r="C93" s="59">
        <v>69.989999999999995</v>
      </c>
      <c r="D93" s="59">
        <v>153.54</v>
      </c>
      <c r="E93" s="60">
        <v>1</v>
      </c>
      <c r="F93" s="61">
        <v>1101171.9172499999</v>
      </c>
      <c r="G93" s="63"/>
      <c r="H93" s="61">
        <f t="shared" si="8"/>
        <v>165175.78758749997</v>
      </c>
      <c r="I93" s="61">
        <f t="shared" si="9"/>
        <v>6117.6217624999999</v>
      </c>
      <c r="J93" s="61">
        <f t="shared" si="10"/>
        <v>41293.946896874993</v>
      </c>
      <c r="K93" s="61">
        <f t="shared" si="11"/>
        <v>550585.95862499997</v>
      </c>
      <c r="L93" s="1"/>
    </row>
    <row r="94" spans="1:12" ht="12" customHeight="1" x14ac:dyDescent="0.3">
      <c r="A94" s="1"/>
      <c r="B94" s="98">
        <v>507</v>
      </c>
      <c r="C94" s="59">
        <v>69.989999999999995</v>
      </c>
      <c r="D94" s="59">
        <v>153.54</v>
      </c>
      <c r="E94" s="60">
        <v>1</v>
      </c>
      <c r="F94" s="61">
        <v>1112183.6364225</v>
      </c>
      <c r="G94" s="63"/>
      <c r="H94" s="61">
        <f t="shared" si="8"/>
        <v>166827.54546337499</v>
      </c>
      <c r="I94" s="61">
        <f t="shared" si="9"/>
        <v>6178.7979801250003</v>
      </c>
      <c r="J94" s="61">
        <f t="shared" si="10"/>
        <v>41706.886365843748</v>
      </c>
      <c r="K94" s="61">
        <f t="shared" si="11"/>
        <v>556091.81821125001</v>
      </c>
      <c r="L94" s="1"/>
    </row>
    <row r="95" spans="1:12" ht="12" customHeight="1" x14ac:dyDescent="0.3">
      <c r="A95" s="1"/>
      <c r="B95" s="98">
        <v>508</v>
      </c>
      <c r="C95" s="59">
        <v>64.3</v>
      </c>
      <c r="D95" s="59">
        <v>143.41999999999999</v>
      </c>
      <c r="E95" s="60">
        <v>1</v>
      </c>
      <c r="F95" s="61">
        <v>1021766.0783249999</v>
      </c>
      <c r="G95" s="63"/>
      <c r="H95" s="61">
        <f t="shared" si="8"/>
        <v>153264.91174874999</v>
      </c>
      <c r="I95" s="61">
        <f t="shared" si="9"/>
        <v>5676.478212916667</v>
      </c>
      <c r="J95" s="61">
        <f t="shared" si="10"/>
        <v>38316.227937187497</v>
      </c>
      <c r="K95" s="61">
        <f t="shared" si="11"/>
        <v>510883.03916249995</v>
      </c>
      <c r="L95" s="1"/>
    </row>
    <row r="96" spans="1:12" ht="12" customHeight="1" x14ac:dyDescent="0.3">
      <c r="A96" s="1"/>
      <c r="B96" s="98">
        <v>509</v>
      </c>
      <c r="C96" s="59">
        <v>64.22</v>
      </c>
      <c r="D96" s="59">
        <v>143.19</v>
      </c>
      <c r="E96" s="60">
        <v>1</v>
      </c>
      <c r="F96" s="61">
        <v>1020494.8297049999</v>
      </c>
      <c r="G96" s="63"/>
      <c r="H96" s="61">
        <f t="shared" si="8"/>
        <v>153074.22445574999</v>
      </c>
      <c r="I96" s="61">
        <f t="shared" si="9"/>
        <v>5669.4157205833335</v>
      </c>
      <c r="J96" s="61">
        <f t="shared" si="10"/>
        <v>38268.556113937499</v>
      </c>
      <c r="K96" s="61">
        <f t="shared" si="11"/>
        <v>510247.41485249996</v>
      </c>
      <c r="L96" s="1"/>
    </row>
    <row r="97" spans="1:12" ht="12" customHeight="1" x14ac:dyDescent="0.3">
      <c r="A97" s="1"/>
      <c r="B97" s="98">
        <v>510</v>
      </c>
      <c r="C97" s="59">
        <v>67.44</v>
      </c>
      <c r="D97" s="59">
        <v>149.01</v>
      </c>
      <c r="E97" s="60">
        <v>1</v>
      </c>
      <c r="F97" s="61">
        <v>1071662.5866599998</v>
      </c>
      <c r="G97" s="63"/>
      <c r="H97" s="61">
        <f t="shared" si="8"/>
        <v>160749.38799899997</v>
      </c>
      <c r="I97" s="61">
        <f t="shared" si="9"/>
        <v>5953.6810369999985</v>
      </c>
      <c r="J97" s="61">
        <f t="shared" si="10"/>
        <v>40187.346999749992</v>
      </c>
      <c r="K97" s="61">
        <f t="shared" si="11"/>
        <v>535831.2933299999</v>
      </c>
      <c r="L97" s="1"/>
    </row>
    <row r="98" spans="1:12" ht="12" customHeight="1" x14ac:dyDescent="0.3">
      <c r="A98" s="1"/>
      <c r="B98" s="98">
        <v>511</v>
      </c>
      <c r="C98" s="59">
        <v>67.44</v>
      </c>
      <c r="D98" s="59">
        <v>149.01</v>
      </c>
      <c r="E98" s="60">
        <v>1</v>
      </c>
      <c r="F98" s="61">
        <v>1071662.5866599998</v>
      </c>
      <c r="G98" s="62"/>
      <c r="H98" s="61">
        <f t="shared" si="8"/>
        <v>160749.38799899997</v>
      </c>
      <c r="I98" s="61">
        <f t="shared" si="9"/>
        <v>5953.6810369999985</v>
      </c>
      <c r="J98" s="61">
        <f t="shared" si="10"/>
        <v>40187.346999749992</v>
      </c>
      <c r="K98" s="61">
        <f t="shared" si="11"/>
        <v>535831.2933299999</v>
      </c>
      <c r="L98" s="1"/>
    </row>
    <row r="99" spans="1:12" ht="12" customHeight="1" x14ac:dyDescent="0.3">
      <c r="A99" s="1"/>
      <c r="B99" s="98">
        <v>512</v>
      </c>
      <c r="C99" s="59">
        <v>68.62</v>
      </c>
      <c r="D99" s="59">
        <v>151.1</v>
      </c>
      <c r="E99" s="60">
        <v>1</v>
      </c>
      <c r="F99" s="61">
        <v>1090413.5038049999</v>
      </c>
      <c r="G99" s="62"/>
      <c r="H99" s="61">
        <f t="shared" si="8"/>
        <v>163562.02557074997</v>
      </c>
      <c r="I99" s="61">
        <f t="shared" si="9"/>
        <v>6057.852798916666</v>
      </c>
      <c r="J99" s="61">
        <f t="shared" si="10"/>
        <v>40890.506392687494</v>
      </c>
      <c r="K99" s="61">
        <f t="shared" si="11"/>
        <v>545206.75190249993</v>
      </c>
      <c r="L99" s="1"/>
    </row>
    <row r="100" spans="1:12" ht="12" customHeight="1" x14ac:dyDescent="0.3">
      <c r="A100" s="1"/>
      <c r="B100" s="98">
        <v>513</v>
      </c>
      <c r="C100" s="59">
        <v>65.39</v>
      </c>
      <c r="D100" s="59">
        <v>145.27000000000001</v>
      </c>
      <c r="E100" s="60">
        <v>1</v>
      </c>
      <c r="F100" s="61">
        <v>1039086.8407724999</v>
      </c>
      <c r="G100" s="62"/>
      <c r="H100" s="61">
        <f t="shared" si="8"/>
        <v>155863.02611587499</v>
      </c>
      <c r="I100" s="61">
        <f t="shared" si="9"/>
        <v>5772.7046709583337</v>
      </c>
      <c r="J100" s="61">
        <f t="shared" si="10"/>
        <v>38965.756528968748</v>
      </c>
      <c r="K100" s="61">
        <f t="shared" si="11"/>
        <v>519543.42038624996</v>
      </c>
      <c r="L100" s="1"/>
    </row>
    <row r="101" spans="1:12" ht="12" customHeight="1" x14ac:dyDescent="0.3">
      <c r="A101" s="1"/>
      <c r="B101" s="98">
        <v>514</v>
      </c>
      <c r="C101" s="59">
        <v>64.3</v>
      </c>
      <c r="D101" s="59">
        <v>143.41999999999999</v>
      </c>
      <c r="E101" s="60">
        <v>1</v>
      </c>
      <c r="F101" s="61">
        <v>1021766.0783249999</v>
      </c>
      <c r="G101" s="62"/>
      <c r="H101" s="61">
        <f t="shared" si="8"/>
        <v>153264.91174874999</v>
      </c>
      <c r="I101" s="61">
        <f t="shared" si="9"/>
        <v>5676.478212916667</v>
      </c>
      <c r="J101" s="61">
        <f t="shared" si="10"/>
        <v>38316.227937187497</v>
      </c>
      <c r="K101" s="61">
        <f t="shared" si="11"/>
        <v>510883.03916249995</v>
      </c>
      <c r="L101" s="1"/>
    </row>
    <row r="102" spans="1:12" ht="12" customHeight="1" x14ac:dyDescent="0.3">
      <c r="A102" s="1"/>
      <c r="B102" s="98">
        <v>515</v>
      </c>
      <c r="C102" s="59">
        <v>69.989999999999995</v>
      </c>
      <c r="D102" s="59">
        <v>153.54</v>
      </c>
      <c r="E102" s="60">
        <v>1</v>
      </c>
      <c r="F102" s="61">
        <v>1112183.6364225</v>
      </c>
      <c r="G102" s="63"/>
      <c r="H102" s="61">
        <f t="shared" si="8"/>
        <v>166827.54546337499</v>
      </c>
      <c r="I102" s="61">
        <f t="shared" si="9"/>
        <v>6178.7979801250003</v>
      </c>
      <c r="J102" s="61">
        <f t="shared" si="10"/>
        <v>41706.886365843748</v>
      </c>
      <c r="K102" s="61">
        <f t="shared" si="11"/>
        <v>556091.81821125001</v>
      </c>
      <c r="L102" s="1"/>
    </row>
    <row r="103" spans="1:12" ht="12" customHeight="1" x14ac:dyDescent="0.3">
      <c r="A103" s="1"/>
      <c r="B103" s="55">
        <v>601</v>
      </c>
      <c r="C103" s="27">
        <v>69.989999999999995</v>
      </c>
      <c r="D103" s="27">
        <v>153.54</v>
      </c>
      <c r="E103" s="28">
        <v>1</v>
      </c>
      <c r="F103" s="29">
        <v>1112183.6364225</v>
      </c>
      <c r="G103" s="30"/>
      <c r="H103" s="29">
        <f t="shared" si="8"/>
        <v>166827.54546337499</v>
      </c>
      <c r="I103" s="29">
        <f t="shared" si="9"/>
        <v>6178.7979801250003</v>
      </c>
      <c r="J103" s="29">
        <f t="shared" si="10"/>
        <v>41706.886365843748</v>
      </c>
      <c r="K103" s="29">
        <f t="shared" si="11"/>
        <v>556091.81821125001</v>
      </c>
      <c r="L103" s="1"/>
    </row>
    <row r="104" spans="1:12" ht="12" customHeight="1" x14ac:dyDescent="0.3">
      <c r="A104" s="1"/>
      <c r="B104" s="31">
        <v>602</v>
      </c>
      <c r="C104" s="27">
        <v>64.3</v>
      </c>
      <c r="D104" s="27">
        <v>143.41999999999999</v>
      </c>
      <c r="E104" s="28">
        <v>1</v>
      </c>
      <c r="F104" s="29">
        <v>1021766.0783249999</v>
      </c>
      <c r="G104" s="30"/>
      <c r="H104" s="29">
        <f t="shared" si="8"/>
        <v>153264.91174874999</v>
      </c>
      <c r="I104" s="29">
        <f t="shared" si="9"/>
        <v>5676.478212916667</v>
      </c>
      <c r="J104" s="29">
        <f t="shared" si="10"/>
        <v>38316.227937187497</v>
      </c>
      <c r="K104" s="29">
        <f t="shared" si="11"/>
        <v>510883.03916249995</v>
      </c>
      <c r="L104" s="1"/>
    </row>
    <row r="105" spans="1:12" ht="12" customHeight="1" x14ac:dyDescent="0.3">
      <c r="A105" s="1"/>
      <c r="B105" s="31">
        <v>603</v>
      </c>
      <c r="C105" s="27">
        <v>67.75</v>
      </c>
      <c r="D105" s="27">
        <v>149.47</v>
      </c>
      <c r="E105" s="28">
        <v>1</v>
      </c>
      <c r="F105" s="29">
        <v>1076588.6750625002</v>
      </c>
      <c r="G105" s="30"/>
      <c r="H105" s="29">
        <f t="shared" si="8"/>
        <v>161488.30125937503</v>
      </c>
      <c r="I105" s="29">
        <f t="shared" si="9"/>
        <v>5981.0481947916678</v>
      </c>
      <c r="J105" s="29">
        <f t="shared" si="10"/>
        <v>40372.075314843758</v>
      </c>
      <c r="K105" s="29">
        <f t="shared" si="11"/>
        <v>538294.33753125009</v>
      </c>
      <c r="L105" s="1"/>
    </row>
    <row r="106" spans="1:12" ht="12" customHeight="1" x14ac:dyDescent="0.3">
      <c r="A106" s="1"/>
      <c r="B106" s="31">
        <v>604</v>
      </c>
      <c r="C106" s="27">
        <v>65.430000000000007</v>
      </c>
      <c r="D106" s="27">
        <v>145.31</v>
      </c>
      <c r="E106" s="28">
        <v>1</v>
      </c>
      <c r="F106" s="29">
        <v>1039722.4650825</v>
      </c>
      <c r="G106" s="30"/>
      <c r="H106" s="29">
        <f t="shared" si="8"/>
        <v>155958.36976237499</v>
      </c>
      <c r="I106" s="29">
        <f t="shared" si="9"/>
        <v>5776.2359171250009</v>
      </c>
      <c r="J106" s="29">
        <f t="shared" si="10"/>
        <v>38989.592440593748</v>
      </c>
      <c r="K106" s="29">
        <f t="shared" si="11"/>
        <v>519861.23254125001</v>
      </c>
      <c r="L106" s="1"/>
    </row>
    <row r="107" spans="1:12" ht="12" customHeight="1" x14ac:dyDescent="0.3">
      <c r="A107" s="1"/>
      <c r="B107" s="31">
        <v>605</v>
      </c>
      <c r="C107" s="27">
        <v>64.3</v>
      </c>
      <c r="D107" s="27">
        <v>143.41999999999999</v>
      </c>
      <c r="E107" s="28">
        <v>1</v>
      </c>
      <c r="F107" s="29">
        <v>1021766.0783249999</v>
      </c>
      <c r="G107" s="30"/>
      <c r="H107" s="29">
        <f t="shared" si="8"/>
        <v>153264.91174874999</v>
      </c>
      <c r="I107" s="29">
        <f t="shared" si="9"/>
        <v>5676.478212916667</v>
      </c>
      <c r="J107" s="29">
        <f t="shared" si="10"/>
        <v>38316.227937187497</v>
      </c>
      <c r="K107" s="29">
        <f t="shared" si="11"/>
        <v>510883.03916249995</v>
      </c>
      <c r="L107" s="1"/>
    </row>
    <row r="108" spans="1:12" ht="12" customHeight="1" x14ac:dyDescent="0.3">
      <c r="A108" s="1"/>
      <c r="B108" s="31">
        <v>606</v>
      </c>
      <c r="C108" s="27">
        <v>69.989999999999995</v>
      </c>
      <c r="D108" s="27">
        <v>153.54</v>
      </c>
      <c r="E108" s="28">
        <v>1</v>
      </c>
      <c r="F108" s="29">
        <v>1112183.6364225</v>
      </c>
      <c r="G108" s="30"/>
      <c r="H108" s="29">
        <f t="shared" si="8"/>
        <v>166827.54546337499</v>
      </c>
      <c r="I108" s="29">
        <f t="shared" si="9"/>
        <v>6178.7979801250003</v>
      </c>
      <c r="J108" s="29">
        <f t="shared" si="10"/>
        <v>41706.886365843748</v>
      </c>
      <c r="K108" s="29">
        <f t="shared" si="11"/>
        <v>556091.81821125001</v>
      </c>
      <c r="L108" s="1"/>
    </row>
    <row r="109" spans="1:12" ht="12" customHeight="1" x14ac:dyDescent="0.3">
      <c r="A109" s="1"/>
      <c r="B109" s="31">
        <v>607</v>
      </c>
      <c r="C109" s="27">
        <v>69.989999999999995</v>
      </c>
      <c r="D109" s="27">
        <v>153.54</v>
      </c>
      <c r="E109" s="28">
        <v>1</v>
      </c>
      <c r="F109" s="29">
        <v>1123305.472786725</v>
      </c>
      <c r="G109" s="30"/>
      <c r="H109" s="29">
        <f t="shared" si="8"/>
        <v>168495.82091800874</v>
      </c>
      <c r="I109" s="29">
        <f t="shared" si="9"/>
        <v>6240.5859599262512</v>
      </c>
      <c r="J109" s="29">
        <f t="shared" si="10"/>
        <v>42123.955229502186</v>
      </c>
      <c r="K109" s="29">
        <f t="shared" si="11"/>
        <v>561652.73639336252</v>
      </c>
      <c r="L109" s="1"/>
    </row>
    <row r="110" spans="1:12" ht="12" customHeight="1" x14ac:dyDescent="0.3">
      <c r="A110" s="1"/>
      <c r="B110" s="31">
        <v>608</v>
      </c>
      <c r="C110" s="27">
        <v>64.3</v>
      </c>
      <c r="D110" s="27">
        <v>143.41999999999999</v>
      </c>
      <c r="E110" s="28">
        <v>1</v>
      </c>
      <c r="F110" s="29">
        <v>1031983.7391082499</v>
      </c>
      <c r="G110" s="30"/>
      <c r="H110" s="29">
        <f t="shared" ref="H110:H117" si="12">F110*H$9</f>
        <v>154797.56086623747</v>
      </c>
      <c r="I110" s="29">
        <f t="shared" ref="I110:I117" si="13">(F110*I$9)/36</f>
        <v>5733.2429950458336</v>
      </c>
      <c r="J110" s="29">
        <f t="shared" ref="J110:J117" si="14">(F110*J$9)/4</f>
        <v>38699.390216559368</v>
      </c>
      <c r="K110" s="29">
        <f t="shared" ref="K110:K117" si="15">F110*K$9</f>
        <v>515991.86955412495</v>
      </c>
      <c r="L110" s="1"/>
    </row>
    <row r="111" spans="1:12" ht="12" customHeight="1" x14ac:dyDescent="0.3">
      <c r="A111" s="1"/>
      <c r="B111" s="31">
        <v>609</v>
      </c>
      <c r="C111" s="27">
        <v>64.22</v>
      </c>
      <c r="D111" s="27">
        <v>143.19</v>
      </c>
      <c r="E111" s="28">
        <v>1</v>
      </c>
      <c r="F111" s="29">
        <v>1030699.7780020499</v>
      </c>
      <c r="G111" s="30"/>
      <c r="H111" s="29">
        <f t="shared" si="12"/>
        <v>154604.96670030747</v>
      </c>
      <c r="I111" s="29">
        <f t="shared" si="13"/>
        <v>5726.1098777891666</v>
      </c>
      <c r="J111" s="29">
        <f t="shared" si="14"/>
        <v>38651.241675076868</v>
      </c>
      <c r="K111" s="29">
        <f t="shared" si="15"/>
        <v>515349.88900102495</v>
      </c>
      <c r="L111" s="1"/>
    </row>
    <row r="112" spans="1:12" ht="12" customHeight="1" x14ac:dyDescent="0.3">
      <c r="A112" s="1"/>
      <c r="B112" s="31">
        <v>610</v>
      </c>
      <c r="C112" s="27">
        <v>67.44</v>
      </c>
      <c r="D112" s="27">
        <v>149.01</v>
      </c>
      <c r="E112" s="28">
        <v>1</v>
      </c>
      <c r="F112" s="29">
        <v>1082379.2125265999</v>
      </c>
      <c r="G112" s="30"/>
      <c r="H112" s="29">
        <f t="shared" si="12"/>
        <v>162356.88187898998</v>
      </c>
      <c r="I112" s="29">
        <f t="shared" si="13"/>
        <v>6013.2178473699996</v>
      </c>
      <c r="J112" s="29">
        <f t="shared" si="14"/>
        <v>40589.220469747495</v>
      </c>
      <c r="K112" s="29">
        <f t="shared" si="15"/>
        <v>541189.60626329994</v>
      </c>
      <c r="L112" s="1"/>
    </row>
    <row r="113" spans="1:12" ht="12" customHeight="1" x14ac:dyDescent="0.3">
      <c r="A113" s="1"/>
      <c r="B113" s="31">
        <v>611</v>
      </c>
      <c r="C113" s="27">
        <v>67.44</v>
      </c>
      <c r="D113" s="27">
        <v>149.01</v>
      </c>
      <c r="E113" s="28">
        <v>1</v>
      </c>
      <c r="F113" s="29">
        <v>1082379.2125265999</v>
      </c>
      <c r="G113" s="30"/>
      <c r="H113" s="29">
        <f t="shared" si="12"/>
        <v>162356.88187898998</v>
      </c>
      <c r="I113" s="29">
        <f t="shared" si="13"/>
        <v>6013.2178473699996</v>
      </c>
      <c r="J113" s="29">
        <f t="shared" si="14"/>
        <v>40589.220469747495</v>
      </c>
      <c r="K113" s="29">
        <f t="shared" si="15"/>
        <v>541189.60626329994</v>
      </c>
      <c r="L113" s="1"/>
    </row>
    <row r="114" spans="1:12" ht="12" customHeight="1" x14ac:dyDescent="0.3">
      <c r="A114" s="1"/>
      <c r="B114" s="31">
        <v>612</v>
      </c>
      <c r="C114" s="27">
        <v>68.62</v>
      </c>
      <c r="D114" s="27">
        <v>151.1</v>
      </c>
      <c r="E114" s="28">
        <v>1</v>
      </c>
      <c r="F114" s="29">
        <v>1101317.63884305</v>
      </c>
      <c r="G114" s="30"/>
      <c r="H114" s="29">
        <f t="shared" si="12"/>
        <v>165197.6458264575</v>
      </c>
      <c r="I114" s="29">
        <f t="shared" si="13"/>
        <v>6118.4313269058339</v>
      </c>
      <c r="J114" s="29">
        <f t="shared" si="14"/>
        <v>41299.411456614376</v>
      </c>
      <c r="K114" s="29">
        <f t="shared" si="15"/>
        <v>550658.819421525</v>
      </c>
      <c r="L114" s="1"/>
    </row>
    <row r="115" spans="1:12" ht="12" customHeight="1" x14ac:dyDescent="0.3">
      <c r="A115" s="1"/>
      <c r="B115" s="31">
        <v>613</v>
      </c>
      <c r="C115" s="27">
        <v>65.39</v>
      </c>
      <c r="D115" s="27">
        <v>145.27000000000001</v>
      </c>
      <c r="E115" s="28">
        <v>1</v>
      </c>
      <c r="F115" s="29">
        <v>1049477.7091802249</v>
      </c>
      <c r="G115" s="30"/>
      <c r="H115" s="29">
        <f t="shared" si="12"/>
        <v>157421.65637703374</v>
      </c>
      <c r="I115" s="29">
        <f t="shared" si="13"/>
        <v>5830.431717667916</v>
      </c>
      <c r="J115" s="29">
        <f t="shared" si="14"/>
        <v>39355.414094258434</v>
      </c>
      <c r="K115" s="29">
        <f t="shared" si="15"/>
        <v>524738.85459011246</v>
      </c>
      <c r="L115" s="1"/>
    </row>
    <row r="116" spans="1:12" ht="12" customHeight="1" x14ac:dyDescent="0.3">
      <c r="A116" s="1"/>
      <c r="B116" s="31">
        <v>614</v>
      </c>
      <c r="C116" s="27">
        <v>64.3</v>
      </c>
      <c r="D116" s="27">
        <v>143.41999999999999</v>
      </c>
      <c r="E116" s="28">
        <v>1</v>
      </c>
      <c r="F116" s="29">
        <v>1031983.7391082499</v>
      </c>
      <c r="G116" s="30"/>
      <c r="H116" s="29">
        <f t="shared" si="12"/>
        <v>154797.56086623747</v>
      </c>
      <c r="I116" s="29">
        <f t="shared" si="13"/>
        <v>5733.2429950458336</v>
      </c>
      <c r="J116" s="29">
        <f t="shared" si="14"/>
        <v>38699.390216559368</v>
      </c>
      <c r="K116" s="29">
        <f t="shared" si="15"/>
        <v>515991.86955412495</v>
      </c>
      <c r="L116" s="1"/>
    </row>
    <row r="117" spans="1:12" ht="12" customHeight="1" x14ac:dyDescent="0.3">
      <c r="A117" s="1"/>
      <c r="B117" s="32">
        <v>615</v>
      </c>
      <c r="C117" s="27">
        <v>69.989999999999995</v>
      </c>
      <c r="D117" s="27">
        <v>153.54</v>
      </c>
      <c r="E117" s="28">
        <v>1</v>
      </c>
      <c r="F117" s="29">
        <v>1123305.472786725</v>
      </c>
      <c r="G117" s="30"/>
      <c r="H117" s="29">
        <f t="shared" si="12"/>
        <v>168495.82091800874</v>
      </c>
      <c r="I117" s="29">
        <f t="shared" si="13"/>
        <v>6240.5859599262512</v>
      </c>
      <c r="J117" s="29">
        <f t="shared" si="14"/>
        <v>42123.955229502186</v>
      </c>
      <c r="K117" s="29">
        <f t="shared" si="15"/>
        <v>561652.73639336252</v>
      </c>
      <c r="L117" s="1"/>
    </row>
    <row r="118" spans="1:12" ht="12.6" customHeight="1" thickBot="1" x14ac:dyDescent="0.35">
      <c r="A118" s="1"/>
      <c r="B118" s="33"/>
      <c r="C118" s="34"/>
      <c r="D118" s="34"/>
      <c r="E118" s="35"/>
      <c r="F118" s="36"/>
      <c r="G118" s="24"/>
      <c r="H118" s="36"/>
      <c r="I118" s="36"/>
      <c r="J118" s="36"/>
      <c r="K118" s="36"/>
      <c r="L118" s="1"/>
    </row>
    <row r="119" spans="1:12" ht="14.4" customHeight="1" thickTop="1" x14ac:dyDescent="0.3">
      <c r="A119" s="1"/>
      <c r="B119" s="78" t="str">
        <f>B2</f>
        <v xml:space="preserve"> Empreendimento: Cuiabá Medical Center</v>
      </c>
      <c r="C119" s="2"/>
      <c r="D119" s="72"/>
      <c r="E119" s="3"/>
      <c r="F119" s="3"/>
      <c r="G119" s="3"/>
      <c r="H119" s="3"/>
      <c r="I119" s="37"/>
      <c r="J119" s="103" t="str">
        <f>J2</f>
        <v>Tabela de Vendas – Vigência: Até 30/04/2026</v>
      </c>
      <c r="K119" s="104"/>
      <c r="L119" s="1"/>
    </row>
    <row r="120" spans="1:12" ht="15" thickBot="1" x14ac:dyDescent="0.35">
      <c r="A120" s="1"/>
      <c r="B120" s="80" t="str">
        <f>B3</f>
        <v xml:space="preserve"> Endereço : Rua Tanzania, Jardim Aclimação</v>
      </c>
      <c r="C120" s="38"/>
      <c r="D120" s="75"/>
      <c r="E120" s="39"/>
      <c r="F120" s="39"/>
      <c r="G120" s="39"/>
      <c r="H120" s="39"/>
      <c r="I120" s="39"/>
      <c r="J120" s="105"/>
      <c r="K120" s="106"/>
      <c r="L120" s="1"/>
    </row>
    <row r="121" spans="1:12" ht="3.6" customHeight="1" thickTop="1" thickBot="1" x14ac:dyDescent="0.35">
      <c r="A121" s="1"/>
      <c r="B121" s="41"/>
      <c r="C121" s="40"/>
      <c r="D121" s="76"/>
      <c r="E121" s="41"/>
      <c r="F121" s="41"/>
      <c r="G121" s="41"/>
      <c r="H121" s="41"/>
      <c r="I121" s="41"/>
      <c r="J121" s="41"/>
      <c r="K121" s="42"/>
      <c r="L121" s="1"/>
    </row>
    <row r="122" spans="1:12" ht="15.6" thickTop="1" thickBot="1" x14ac:dyDescent="0.35">
      <c r="A122" s="1"/>
      <c r="B122" s="108" t="s">
        <v>2</v>
      </c>
      <c r="C122" s="109"/>
      <c r="D122" s="109"/>
      <c r="E122" s="109"/>
      <c r="F122" s="109"/>
      <c r="G122" s="109"/>
      <c r="H122" s="109"/>
      <c r="I122" s="109"/>
      <c r="J122" s="109"/>
      <c r="K122" s="110"/>
      <c r="L122" s="1"/>
    </row>
    <row r="123" spans="1:12" ht="3.6" customHeight="1" thickTop="1" thickBot="1" x14ac:dyDescent="0.35">
      <c r="A123" s="1"/>
      <c r="B123" s="43"/>
      <c r="C123" s="44"/>
      <c r="D123" s="22"/>
      <c r="E123" s="43"/>
      <c r="F123" s="45"/>
      <c r="G123" s="45"/>
      <c r="H123" s="45"/>
      <c r="I123" s="46"/>
      <c r="J123" s="46"/>
      <c r="K123" s="46"/>
      <c r="L123" s="1"/>
    </row>
    <row r="124" spans="1:12" ht="15.6" thickTop="1" thickBot="1" x14ac:dyDescent="0.35">
      <c r="A124" s="1"/>
      <c r="B124" s="111" t="s">
        <v>3</v>
      </c>
      <c r="C124" s="112" t="s">
        <v>4</v>
      </c>
      <c r="D124" s="102" t="s">
        <v>5</v>
      </c>
      <c r="E124" s="102" t="s">
        <v>6</v>
      </c>
      <c r="F124" s="102" t="s">
        <v>7</v>
      </c>
      <c r="G124" s="35"/>
      <c r="H124" s="102" t="s">
        <v>8</v>
      </c>
      <c r="I124" s="101" t="s">
        <v>9</v>
      </c>
      <c r="J124" s="101"/>
      <c r="K124" s="101"/>
      <c r="L124" s="1"/>
    </row>
    <row r="125" spans="1:12" ht="24" x14ac:dyDescent="0.3">
      <c r="A125" s="1"/>
      <c r="B125" s="111"/>
      <c r="C125" s="112"/>
      <c r="D125" s="102"/>
      <c r="E125" s="102"/>
      <c r="F125" s="102"/>
      <c r="G125" s="35"/>
      <c r="H125" s="102"/>
      <c r="I125" s="87" t="s">
        <v>10</v>
      </c>
      <c r="J125" s="87" t="s">
        <v>13</v>
      </c>
      <c r="K125" s="87" t="s">
        <v>12</v>
      </c>
      <c r="L125" s="1"/>
    </row>
    <row r="126" spans="1:12" ht="12" customHeight="1" thickTop="1" x14ac:dyDescent="0.3">
      <c r="A126" s="1"/>
      <c r="B126" s="82"/>
      <c r="C126" s="57"/>
      <c r="D126" s="35"/>
      <c r="E126" s="35"/>
      <c r="F126" s="35"/>
      <c r="G126" s="35"/>
      <c r="H126" s="35"/>
      <c r="I126" s="35"/>
      <c r="J126" s="58"/>
      <c r="K126" s="35"/>
      <c r="L126" s="1"/>
    </row>
    <row r="127" spans="1:12" ht="12" customHeight="1" x14ac:dyDescent="0.3">
      <c r="A127" s="1"/>
      <c r="B127" s="67">
        <v>701</v>
      </c>
      <c r="C127" s="19">
        <v>69.989999999999995</v>
      </c>
      <c r="D127" s="19">
        <v>153.54</v>
      </c>
      <c r="E127" s="20">
        <v>1</v>
      </c>
      <c r="F127" s="21">
        <v>1123305.472786725</v>
      </c>
      <c r="G127" s="22"/>
      <c r="H127" s="21">
        <f t="shared" ref="H127:H144" si="16">F127*H$9</f>
        <v>168495.82091800874</v>
      </c>
      <c r="I127" s="21">
        <f t="shared" ref="I127:I144" si="17">(F127*I$9)/36</f>
        <v>6240.5859599262512</v>
      </c>
      <c r="J127" s="21">
        <f t="shared" ref="J127:J144" si="18">(F127*J$9)/4</f>
        <v>42123.955229502186</v>
      </c>
      <c r="K127" s="21">
        <f t="shared" ref="K127:K144" si="19">F127*K$9</f>
        <v>561652.73639336252</v>
      </c>
      <c r="L127" s="1"/>
    </row>
    <row r="128" spans="1:12" ht="12" customHeight="1" x14ac:dyDescent="0.3">
      <c r="A128" s="1"/>
      <c r="B128" s="67">
        <v>702</v>
      </c>
      <c r="C128" s="19">
        <v>64.3</v>
      </c>
      <c r="D128" s="19">
        <v>143.41999999999999</v>
      </c>
      <c r="E128" s="20">
        <v>1</v>
      </c>
      <c r="F128" s="21">
        <v>1031983.7391082499</v>
      </c>
      <c r="G128" s="22"/>
      <c r="H128" s="21">
        <f t="shared" si="16"/>
        <v>154797.56086623747</v>
      </c>
      <c r="I128" s="21">
        <f t="shared" si="17"/>
        <v>5733.2429950458336</v>
      </c>
      <c r="J128" s="21">
        <f t="shared" si="18"/>
        <v>38699.390216559368</v>
      </c>
      <c r="K128" s="21">
        <f t="shared" si="19"/>
        <v>515991.86955412495</v>
      </c>
      <c r="L128" s="1"/>
    </row>
    <row r="129" spans="1:12" ht="12" customHeight="1" x14ac:dyDescent="0.3">
      <c r="A129" s="1"/>
      <c r="B129" s="67">
        <v>703</v>
      </c>
      <c r="C129" s="19">
        <v>67.75</v>
      </c>
      <c r="D129" s="19">
        <v>149.47</v>
      </c>
      <c r="E129" s="20">
        <v>1</v>
      </c>
      <c r="F129" s="21">
        <v>1087354.5618131252</v>
      </c>
      <c r="G129" s="24"/>
      <c r="H129" s="21">
        <f t="shared" si="16"/>
        <v>163103.18427196876</v>
      </c>
      <c r="I129" s="21">
        <f t="shared" si="17"/>
        <v>6040.8586767395846</v>
      </c>
      <c r="J129" s="21">
        <f t="shared" si="18"/>
        <v>40775.796067992189</v>
      </c>
      <c r="K129" s="21">
        <f t="shared" si="19"/>
        <v>543677.28090656258</v>
      </c>
      <c r="L129" s="1"/>
    </row>
    <row r="130" spans="1:12" ht="12" customHeight="1" x14ac:dyDescent="0.3">
      <c r="A130" s="1"/>
      <c r="B130" s="67">
        <v>704</v>
      </c>
      <c r="C130" s="19">
        <v>65.430000000000007</v>
      </c>
      <c r="D130" s="19">
        <v>145.31</v>
      </c>
      <c r="E130" s="20">
        <v>1</v>
      </c>
      <c r="F130" s="21">
        <v>1050119.689733325</v>
      </c>
      <c r="G130" s="24"/>
      <c r="H130" s="21">
        <f t="shared" si="16"/>
        <v>157517.95345999874</v>
      </c>
      <c r="I130" s="21">
        <f t="shared" si="17"/>
        <v>5833.99827629625</v>
      </c>
      <c r="J130" s="21">
        <f t="shared" si="18"/>
        <v>39379.488364999685</v>
      </c>
      <c r="K130" s="21">
        <f t="shared" si="19"/>
        <v>525059.84486666252</v>
      </c>
      <c r="L130" s="1"/>
    </row>
    <row r="131" spans="1:12" ht="12" customHeight="1" x14ac:dyDescent="0.3">
      <c r="A131" s="1"/>
      <c r="B131" s="23">
        <v>705</v>
      </c>
      <c r="C131" s="19">
        <v>64.3</v>
      </c>
      <c r="D131" s="19">
        <v>143.41999999999999</v>
      </c>
      <c r="E131" s="20">
        <v>1</v>
      </c>
      <c r="F131" s="21">
        <v>1031983.7391082499</v>
      </c>
      <c r="G131" s="24"/>
      <c r="H131" s="21">
        <f t="shared" si="16"/>
        <v>154797.56086623747</v>
      </c>
      <c r="I131" s="21">
        <f t="shared" si="17"/>
        <v>5733.2429950458336</v>
      </c>
      <c r="J131" s="21">
        <f t="shared" si="18"/>
        <v>38699.390216559368</v>
      </c>
      <c r="K131" s="21">
        <f t="shared" si="19"/>
        <v>515991.86955412495</v>
      </c>
      <c r="L131" s="1"/>
    </row>
    <row r="132" spans="1:12" ht="12" customHeight="1" x14ac:dyDescent="0.3">
      <c r="A132" s="1"/>
      <c r="B132" s="23">
        <v>706</v>
      </c>
      <c r="C132" s="19">
        <v>69.989999999999995</v>
      </c>
      <c r="D132" s="19">
        <v>153.54</v>
      </c>
      <c r="E132" s="20">
        <v>1</v>
      </c>
      <c r="F132" s="21">
        <v>1123305.472786725</v>
      </c>
      <c r="G132" s="24"/>
      <c r="H132" s="21">
        <f t="shared" si="16"/>
        <v>168495.82091800874</v>
      </c>
      <c r="I132" s="21">
        <f t="shared" si="17"/>
        <v>6240.5859599262512</v>
      </c>
      <c r="J132" s="21">
        <f t="shared" si="18"/>
        <v>42123.955229502186</v>
      </c>
      <c r="K132" s="21">
        <f t="shared" si="19"/>
        <v>561652.73639336252</v>
      </c>
      <c r="L132" s="1"/>
    </row>
    <row r="133" spans="1:12" ht="12" customHeight="1" x14ac:dyDescent="0.3">
      <c r="A133" s="1"/>
      <c r="B133" s="23">
        <v>707</v>
      </c>
      <c r="C133" s="19">
        <v>69.989999999999995</v>
      </c>
      <c r="D133" s="19">
        <v>153.54</v>
      </c>
      <c r="E133" s="20">
        <v>1</v>
      </c>
      <c r="F133" s="21">
        <v>1134538.5275145923</v>
      </c>
      <c r="G133" s="24"/>
      <c r="H133" s="21">
        <f t="shared" si="16"/>
        <v>170180.77912718884</v>
      </c>
      <c r="I133" s="21">
        <f t="shared" si="17"/>
        <v>6302.9918195255123</v>
      </c>
      <c r="J133" s="21">
        <f t="shared" si="18"/>
        <v>42545.19478179721</v>
      </c>
      <c r="K133" s="21">
        <f t="shared" si="19"/>
        <v>567269.26375729614</v>
      </c>
      <c r="L133" s="1"/>
    </row>
    <row r="134" spans="1:12" ht="12" customHeight="1" x14ac:dyDescent="0.3">
      <c r="A134" s="1"/>
      <c r="B134" s="67">
        <v>708</v>
      </c>
      <c r="C134" s="19">
        <v>64.3</v>
      </c>
      <c r="D134" s="19">
        <v>143.41999999999999</v>
      </c>
      <c r="E134" s="20">
        <v>1</v>
      </c>
      <c r="F134" s="21">
        <v>1042303.5764993324</v>
      </c>
      <c r="G134" s="24"/>
      <c r="H134" s="21">
        <f t="shared" si="16"/>
        <v>156345.53647489985</v>
      </c>
      <c r="I134" s="21">
        <f t="shared" si="17"/>
        <v>5790.575424996292</v>
      </c>
      <c r="J134" s="21">
        <f t="shared" si="18"/>
        <v>39086.384118724964</v>
      </c>
      <c r="K134" s="21">
        <f t="shared" si="19"/>
        <v>521151.78824966622</v>
      </c>
      <c r="L134" s="1"/>
    </row>
    <row r="135" spans="1:12" ht="12" customHeight="1" x14ac:dyDescent="0.3">
      <c r="A135" s="1"/>
      <c r="B135" s="67">
        <v>709</v>
      </c>
      <c r="C135" s="19">
        <v>64.22</v>
      </c>
      <c r="D135" s="19">
        <v>143.19</v>
      </c>
      <c r="E135" s="20">
        <v>1</v>
      </c>
      <c r="F135" s="21">
        <v>1041006.7757820704</v>
      </c>
      <c r="G135" s="24"/>
      <c r="H135" s="21">
        <f t="shared" si="16"/>
        <v>156151.01636731054</v>
      </c>
      <c r="I135" s="21">
        <f t="shared" si="17"/>
        <v>5783.3709765670583</v>
      </c>
      <c r="J135" s="21">
        <f t="shared" si="18"/>
        <v>39037.754091827635</v>
      </c>
      <c r="K135" s="21">
        <f t="shared" si="19"/>
        <v>520503.38789103518</v>
      </c>
      <c r="L135" s="1"/>
    </row>
    <row r="136" spans="1:12" ht="12" customHeight="1" x14ac:dyDescent="0.3">
      <c r="A136" s="1"/>
      <c r="B136" s="67">
        <v>710</v>
      </c>
      <c r="C136" s="19">
        <v>67.44</v>
      </c>
      <c r="D136" s="19">
        <v>149.01</v>
      </c>
      <c r="E136" s="20">
        <v>1</v>
      </c>
      <c r="F136" s="21">
        <v>1093203.0046518659</v>
      </c>
      <c r="G136" s="24"/>
      <c r="H136" s="21">
        <f t="shared" si="16"/>
        <v>163980.45069777989</v>
      </c>
      <c r="I136" s="21">
        <f t="shared" si="17"/>
        <v>6073.3500258436998</v>
      </c>
      <c r="J136" s="21">
        <f t="shared" si="18"/>
        <v>40995.112674444972</v>
      </c>
      <c r="K136" s="21">
        <f t="shared" si="19"/>
        <v>546601.50232593296</v>
      </c>
      <c r="L136" s="1"/>
    </row>
    <row r="137" spans="1:12" ht="12" customHeight="1" x14ac:dyDescent="0.3">
      <c r="A137" s="1"/>
      <c r="B137" s="67">
        <v>711</v>
      </c>
      <c r="C137" s="19">
        <v>67.44</v>
      </c>
      <c r="D137" s="19">
        <v>149.01</v>
      </c>
      <c r="E137" s="20">
        <v>1</v>
      </c>
      <c r="F137" s="21">
        <v>1093203.0046518659</v>
      </c>
      <c r="G137" s="22"/>
      <c r="H137" s="21">
        <f t="shared" si="16"/>
        <v>163980.45069777989</v>
      </c>
      <c r="I137" s="21">
        <f t="shared" si="17"/>
        <v>6073.3500258436998</v>
      </c>
      <c r="J137" s="21">
        <f t="shared" si="18"/>
        <v>40995.112674444972</v>
      </c>
      <c r="K137" s="21">
        <f t="shared" si="19"/>
        <v>546601.50232593296</v>
      </c>
      <c r="L137" s="1"/>
    </row>
    <row r="138" spans="1:12" ht="12" customHeight="1" x14ac:dyDescent="0.3">
      <c r="A138" s="1"/>
      <c r="B138" s="67">
        <v>712</v>
      </c>
      <c r="C138" s="19">
        <v>68.62</v>
      </c>
      <c r="D138" s="19">
        <v>151.1</v>
      </c>
      <c r="E138" s="20">
        <v>1</v>
      </c>
      <c r="F138" s="21">
        <v>1112330.8152314804</v>
      </c>
      <c r="G138" s="22"/>
      <c r="H138" s="21">
        <f t="shared" si="16"/>
        <v>166849.62228472205</v>
      </c>
      <c r="I138" s="21">
        <f t="shared" si="17"/>
        <v>6179.6156401748922</v>
      </c>
      <c r="J138" s="21">
        <f t="shared" si="18"/>
        <v>41712.405571180512</v>
      </c>
      <c r="K138" s="21">
        <f t="shared" si="19"/>
        <v>556165.4076157402</v>
      </c>
      <c r="L138" s="1"/>
    </row>
    <row r="139" spans="1:12" ht="12" customHeight="1" x14ac:dyDescent="0.3">
      <c r="A139" s="1"/>
      <c r="B139" s="67">
        <v>713</v>
      </c>
      <c r="C139" s="19">
        <v>65.39</v>
      </c>
      <c r="D139" s="19">
        <v>145.27000000000001</v>
      </c>
      <c r="E139" s="20">
        <v>1</v>
      </c>
      <c r="F139" s="21">
        <v>1059972.4862720273</v>
      </c>
      <c r="G139" s="22"/>
      <c r="H139" s="21">
        <f t="shared" si="16"/>
        <v>158995.87294080408</v>
      </c>
      <c r="I139" s="21">
        <f t="shared" si="17"/>
        <v>5888.7360348445964</v>
      </c>
      <c r="J139" s="21">
        <f t="shared" si="18"/>
        <v>39748.96823520102</v>
      </c>
      <c r="K139" s="21">
        <f t="shared" si="19"/>
        <v>529986.24313601363</v>
      </c>
      <c r="L139" s="1"/>
    </row>
    <row r="140" spans="1:12" ht="12" customHeight="1" x14ac:dyDescent="0.3">
      <c r="A140" s="1"/>
      <c r="B140" s="67">
        <v>714</v>
      </c>
      <c r="C140" s="19">
        <v>64.3</v>
      </c>
      <c r="D140" s="19">
        <v>143.41999999999999</v>
      </c>
      <c r="E140" s="20">
        <v>1</v>
      </c>
      <c r="F140" s="21">
        <v>1042303.5764993324</v>
      </c>
      <c r="G140" s="22"/>
      <c r="H140" s="21">
        <f t="shared" si="16"/>
        <v>156345.53647489985</v>
      </c>
      <c r="I140" s="21">
        <f t="shared" si="17"/>
        <v>5790.575424996292</v>
      </c>
      <c r="J140" s="21">
        <f t="shared" si="18"/>
        <v>39086.384118724964</v>
      </c>
      <c r="K140" s="21">
        <f t="shared" si="19"/>
        <v>521151.78824966622</v>
      </c>
      <c r="L140" s="1"/>
    </row>
    <row r="141" spans="1:12" ht="12" customHeight="1" x14ac:dyDescent="0.3">
      <c r="A141" s="1"/>
      <c r="B141" s="67">
        <v>715</v>
      </c>
      <c r="C141" s="19">
        <v>69.989999999999995</v>
      </c>
      <c r="D141" s="19">
        <v>153.54</v>
      </c>
      <c r="E141" s="20">
        <v>1</v>
      </c>
      <c r="F141" s="21">
        <v>1134538.5275145923</v>
      </c>
      <c r="G141" s="24"/>
      <c r="H141" s="21">
        <f t="shared" si="16"/>
        <v>170180.77912718884</v>
      </c>
      <c r="I141" s="21">
        <f t="shared" si="17"/>
        <v>6302.9918195255123</v>
      </c>
      <c r="J141" s="21">
        <f t="shared" si="18"/>
        <v>42545.19478179721</v>
      </c>
      <c r="K141" s="21">
        <f t="shared" si="19"/>
        <v>567269.26375729614</v>
      </c>
      <c r="L141" s="1"/>
    </row>
    <row r="142" spans="1:12" ht="12" customHeight="1" x14ac:dyDescent="0.3">
      <c r="A142" s="1"/>
      <c r="B142" s="70">
        <v>801</v>
      </c>
      <c r="C142" s="27">
        <v>69.989999999999995</v>
      </c>
      <c r="D142" s="27">
        <v>153.54</v>
      </c>
      <c r="E142" s="28">
        <v>1</v>
      </c>
      <c r="F142" s="29">
        <v>1123305.472786725</v>
      </c>
      <c r="G142" s="30"/>
      <c r="H142" s="29">
        <f t="shared" si="16"/>
        <v>168495.82091800874</v>
      </c>
      <c r="I142" s="29">
        <f t="shared" si="17"/>
        <v>6240.5859599262512</v>
      </c>
      <c r="J142" s="29">
        <f t="shared" si="18"/>
        <v>42123.955229502186</v>
      </c>
      <c r="K142" s="29">
        <f t="shared" si="19"/>
        <v>561652.73639336252</v>
      </c>
      <c r="L142" s="1"/>
    </row>
    <row r="143" spans="1:12" ht="12" customHeight="1" x14ac:dyDescent="0.3">
      <c r="A143" s="1"/>
      <c r="B143" s="26">
        <v>802</v>
      </c>
      <c r="C143" s="27">
        <v>64.3</v>
      </c>
      <c r="D143" s="27">
        <v>143.41999999999999</v>
      </c>
      <c r="E143" s="28">
        <v>1</v>
      </c>
      <c r="F143" s="29">
        <v>1031983.7391082499</v>
      </c>
      <c r="G143" s="30"/>
      <c r="H143" s="29">
        <f t="shared" si="16"/>
        <v>154797.56086623747</v>
      </c>
      <c r="I143" s="29">
        <f t="shared" si="17"/>
        <v>5733.2429950458336</v>
      </c>
      <c r="J143" s="29">
        <f t="shared" si="18"/>
        <v>38699.390216559368</v>
      </c>
      <c r="K143" s="29">
        <f t="shared" si="19"/>
        <v>515991.86955412495</v>
      </c>
      <c r="L143" s="1"/>
    </row>
    <row r="144" spans="1:12" ht="12" customHeight="1" x14ac:dyDescent="0.3">
      <c r="A144" s="1"/>
      <c r="B144" s="26">
        <v>803</v>
      </c>
      <c r="C144" s="27">
        <v>67.75</v>
      </c>
      <c r="D144" s="27">
        <v>149.47</v>
      </c>
      <c r="E144" s="28">
        <v>1</v>
      </c>
      <c r="F144" s="29">
        <v>1087354.5618131252</v>
      </c>
      <c r="G144" s="30"/>
      <c r="H144" s="29">
        <f t="shared" si="16"/>
        <v>163103.18427196876</v>
      </c>
      <c r="I144" s="29">
        <f t="shared" si="17"/>
        <v>6040.8586767395846</v>
      </c>
      <c r="J144" s="29">
        <f t="shared" si="18"/>
        <v>40775.796067992189</v>
      </c>
      <c r="K144" s="29">
        <f t="shared" si="19"/>
        <v>543677.28090656258</v>
      </c>
      <c r="L144" s="1"/>
    </row>
    <row r="145" spans="1:12" ht="12" customHeight="1" x14ac:dyDescent="0.3">
      <c r="A145" s="1"/>
      <c r="B145" s="26">
        <v>804</v>
      </c>
      <c r="C145" s="27">
        <v>65.430000000000007</v>
      </c>
      <c r="D145" s="27">
        <v>145.31</v>
      </c>
      <c r="E145" s="28">
        <v>1</v>
      </c>
      <c r="F145" s="29">
        <v>1050119.689733325</v>
      </c>
      <c r="G145" s="30"/>
      <c r="H145" s="29">
        <f t="shared" ref="H145:H156" si="20">F145*H$9</f>
        <v>157517.95345999874</v>
      </c>
      <c r="I145" s="29">
        <f t="shared" ref="I145:I156" si="21">(F145*I$9)/36</f>
        <v>5833.99827629625</v>
      </c>
      <c r="J145" s="29">
        <f t="shared" ref="J145:J156" si="22">(F145*J$9)/4</f>
        <v>39379.488364999685</v>
      </c>
      <c r="K145" s="29">
        <f t="shared" ref="K145:K156" si="23">F145*K$9</f>
        <v>525059.84486666252</v>
      </c>
      <c r="L145" s="1"/>
    </row>
    <row r="146" spans="1:12" ht="12" customHeight="1" x14ac:dyDescent="0.3">
      <c r="A146" s="1"/>
      <c r="B146" s="26">
        <v>805</v>
      </c>
      <c r="C146" s="27">
        <v>64.3</v>
      </c>
      <c r="D146" s="27">
        <v>143.41999999999999</v>
      </c>
      <c r="E146" s="28">
        <v>1</v>
      </c>
      <c r="F146" s="29">
        <v>1031983.7391082499</v>
      </c>
      <c r="G146" s="30"/>
      <c r="H146" s="29">
        <f t="shared" si="20"/>
        <v>154797.56086623747</v>
      </c>
      <c r="I146" s="29">
        <f t="shared" si="21"/>
        <v>5733.2429950458336</v>
      </c>
      <c r="J146" s="29">
        <f t="shared" si="22"/>
        <v>38699.390216559368</v>
      </c>
      <c r="K146" s="29">
        <f t="shared" si="23"/>
        <v>515991.86955412495</v>
      </c>
      <c r="L146" s="1"/>
    </row>
    <row r="147" spans="1:12" ht="12" customHeight="1" x14ac:dyDescent="0.3">
      <c r="A147" s="1"/>
      <c r="B147" s="26">
        <v>806</v>
      </c>
      <c r="C147" s="27">
        <v>69.989999999999995</v>
      </c>
      <c r="D147" s="27">
        <v>153.54</v>
      </c>
      <c r="E147" s="28">
        <v>1</v>
      </c>
      <c r="F147" s="29">
        <v>1123305.472786725</v>
      </c>
      <c r="G147" s="30"/>
      <c r="H147" s="29">
        <f t="shared" si="20"/>
        <v>168495.82091800874</v>
      </c>
      <c r="I147" s="29">
        <f t="shared" si="21"/>
        <v>6240.5859599262512</v>
      </c>
      <c r="J147" s="29">
        <f t="shared" si="22"/>
        <v>42123.955229502186</v>
      </c>
      <c r="K147" s="29">
        <f t="shared" si="23"/>
        <v>561652.73639336252</v>
      </c>
      <c r="L147" s="1"/>
    </row>
    <row r="148" spans="1:12" ht="12" customHeight="1" x14ac:dyDescent="0.3">
      <c r="A148" s="1"/>
      <c r="B148" s="26">
        <v>807</v>
      </c>
      <c r="C148" s="27">
        <v>69.989999999999995</v>
      </c>
      <c r="D148" s="27">
        <v>153.54</v>
      </c>
      <c r="E148" s="28">
        <v>1</v>
      </c>
      <c r="F148" s="29">
        <v>1134538.5275145923</v>
      </c>
      <c r="G148" s="30"/>
      <c r="H148" s="29">
        <f t="shared" si="20"/>
        <v>170180.77912718884</v>
      </c>
      <c r="I148" s="29">
        <f t="shared" si="21"/>
        <v>6302.9918195255123</v>
      </c>
      <c r="J148" s="29">
        <f t="shared" si="22"/>
        <v>42545.19478179721</v>
      </c>
      <c r="K148" s="29">
        <f t="shared" si="23"/>
        <v>567269.26375729614</v>
      </c>
      <c r="L148" s="1"/>
    </row>
    <row r="149" spans="1:12" ht="12" customHeight="1" x14ac:dyDescent="0.3">
      <c r="A149" s="1"/>
      <c r="B149" s="26">
        <v>808</v>
      </c>
      <c r="C149" s="27">
        <v>64.3</v>
      </c>
      <c r="D149" s="27">
        <v>143.41999999999999</v>
      </c>
      <c r="E149" s="28">
        <v>1</v>
      </c>
      <c r="F149" s="29">
        <v>1042303.5764993324</v>
      </c>
      <c r="G149" s="30"/>
      <c r="H149" s="29">
        <f t="shared" si="20"/>
        <v>156345.53647489985</v>
      </c>
      <c r="I149" s="29">
        <f t="shared" si="21"/>
        <v>5790.575424996292</v>
      </c>
      <c r="J149" s="29">
        <f t="shared" si="22"/>
        <v>39086.384118724964</v>
      </c>
      <c r="K149" s="29">
        <f t="shared" si="23"/>
        <v>521151.78824966622</v>
      </c>
      <c r="L149" s="1"/>
    </row>
    <row r="150" spans="1:12" ht="12" customHeight="1" x14ac:dyDescent="0.3">
      <c r="A150" s="1"/>
      <c r="B150" s="26">
        <v>809</v>
      </c>
      <c r="C150" s="27">
        <v>64.22</v>
      </c>
      <c r="D150" s="27">
        <v>143.19</v>
      </c>
      <c r="E150" s="28">
        <v>1</v>
      </c>
      <c r="F150" s="29">
        <v>1041006.7757820704</v>
      </c>
      <c r="G150" s="30"/>
      <c r="H150" s="29">
        <f t="shared" si="20"/>
        <v>156151.01636731054</v>
      </c>
      <c r="I150" s="29">
        <f t="shared" si="21"/>
        <v>5783.3709765670583</v>
      </c>
      <c r="J150" s="29">
        <f t="shared" si="22"/>
        <v>39037.754091827635</v>
      </c>
      <c r="K150" s="29">
        <f t="shared" si="23"/>
        <v>520503.38789103518</v>
      </c>
      <c r="L150" s="1"/>
    </row>
    <row r="151" spans="1:12" ht="12" customHeight="1" x14ac:dyDescent="0.3">
      <c r="A151" s="1"/>
      <c r="B151" s="26">
        <v>810</v>
      </c>
      <c r="C151" s="27">
        <v>67.44</v>
      </c>
      <c r="D151" s="27">
        <v>149.01</v>
      </c>
      <c r="E151" s="28">
        <v>1</v>
      </c>
      <c r="F151" s="29">
        <v>1093203.0046518659</v>
      </c>
      <c r="G151" s="30"/>
      <c r="H151" s="29">
        <f t="shared" si="20"/>
        <v>163980.45069777989</v>
      </c>
      <c r="I151" s="29">
        <f t="shared" si="21"/>
        <v>6073.3500258436998</v>
      </c>
      <c r="J151" s="29">
        <f t="shared" si="22"/>
        <v>40995.112674444972</v>
      </c>
      <c r="K151" s="29">
        <f t="shared" si="23"/>
        <v>546601.50232593296</v>
      </c>
      <c r="L151" s="1"/>
    </row>
    <row r="152" spans="1:12" ht="12" customHeight="1" x14ac:dyDescent="0.3">
      <c r="A152" s="1"/>
      <c r="B152" s="26">
        <v>811</v>
      </c>
      <c r="C152" s="27">
        <v>67.44</v>
      </c>
      <c r="D152" s="27">
        <v>149.01</v>
      </c>
      <c r="E152" s="28">
        <v>1</v>
      </c>
      <c r="F152" s="29">
        <v>1093203.0046518659</v>
      </c>
      <c r="G152" s="30"/>
      <c r="H152" s="29">
        <f t="shared" si="20"/>
        <v>163980.45069777989</v>
      </c>
      <c r="I152" s="29">
        <f t="shared" si="21"/>
        <v>6073.3500258436998</v>
      </c>
      <c r="J152" s="29">
        <f t="shared" si="22"/>
        <v>40995.112674444972</v>
      </c>
      <c r="K152" s="29">
        <f t="shared" si="23"/>
        <v>546601.50232593296</v>
      </c>
      <c r="L152" s="1"/>
    </row>
    <row r="153" spans="1:12" ht="12" customHeight="1" x14ac:dyDescent="0.3">
      <c r="A153" s="1"/>
      <c r="B153" s="26">
        <v>812</v>
      </c>
      <c r="C153" s="27">
        <v>68.62</v>
      </c>
      <c r="D153" s="27">
        <v>151.1</v>
      </c>
      <c r="E153" s="28">
        <v>1</v>
      </c>
      <c r="F153" s="29">
        <v>1112330.8152314804</v>
      </c>
      <c r="G153" s="64"/>
      <c r="H153" s="29">
        <f t="shared" si="20"/>
        <v>166849.62228472205</v>
      </c>
      <c r="I153" s="29">
        <f t="shared" si="21"/>
        <v>6179.6156401748922</v>
      </c>
      <c r="J153" s="29">
        <f t="shared" si="22"/>
        <v>41712.405571180512</v>
      </c>
      <c r="K153" s="29">
        <f t="shared" si="23"/>
        <v>556165.4076157402</v>
      </c>
      <c r="L153" s="1"/>
    </row>
    <row r="154" spans="1:12" ht="12" customHeight="1" x14ac:dyDescent="0.3">
      <c r="A154" s="1"/>
      <c r="B154" s="26">
        <v>813</v>
      </c>
      <c r="C154" s="27">
        <v>65.39</v>
      </c>
      <c r="D154" s="27">
        <v>145.27000000000001</v>
      </c>
      <c r="E154" s="28">
        <v>1</v>
      </c>
      <c r="F154" s="29">
        <v>1059972.4862720273</v>
      </c>
      <c r="G154" s="64"/>
      <c r="H154" s="29">
        <f t="shared" si="20"/>
        <v>158995.87294080408</v>
      </c>
      <c r="I154" s="29">
        <f t="shared" si="21"/>
        <v>5888.7360348445964</v>
      </c>
      <c r="J154" s="29">
        <f t="shared" si="22"/>
        <v>39748.96823520102</v>
      </c>
      <c r="K154" s="29">
        <f t="shared" si="23"/>
        <v>529986.24313601363</v>
      </c>
      <c r="L154" s="1"/>
    </row>
    <row r="155" spans="1:12" ht="12" customHeight="1" x14ac:dyDescent="0.3">
      <c r="A155" s="1"/>
      <c r="B155" s="26">
        <v>814</v>
      </c>
      <c r="C155" s="27">
        <v>64.3</v>
      </c>
      <c r="D155" s="27">
        <v>143.41999999999999</v>
      </c>
      <c r="E155" s="28">
        <v>1</v>
      </c>
      <c r="F155" s="29">
        <v>1042303.5764993324</v>
      </c>
      <c r="G155" s="30"/>
      <c r="H155" s="29">
        <f t="shared" si="20"/>
        <v>156345.53647489985</v>
      </c>
      <c r="I155" s="29">
        <f t="shared" si="21"/>
        <v>5790.575424996292</v>
      </c>
      <c r="J155" s="29">
        <f t="shared" si="22"/>
        <v>39086.384118724964</v>
      </c>
      <c r="K155" s="29">
        <f t="shared" si="23"/>
        <v>521151.78824966622</v>
      </c>
      <c r="L155" s="1"/>
    </row>
    <row r="156" spans="1:12" ht="12" customHeight="1" x14ac:dyDescent="0.3">
      <c r="A156" s="1"/>
      <c r="B156" s="56">
        <v>815</v>
      </c>
      <c r="C156" s="27">
        <v>69.989999999999995</v>
      </c>
      <c r="D156" s="27">
        <v>153.54</v>
      </c>
      <c r="E156" s="28">
        <v>1</v>
      </c>
      <c r="F156" s="29">
        <v>1134538.5275145923</v>
      </c>
      <c r="G156" s="30"/>
      <c r="H156" s="29">
        <f t="shared" si="20"/>
        <v>170180.77912718884</v>
      </c>
      <c r="I156" s="29">
        <f t="shared" si="21"/>
        <v>6302.9918195255123</v>
      </c>
      <c r="J156" s="29">
        <f t="shared" si="22"/>
        <v>42545.19478179721</v>
      </c>
      <c r="K156" s="29">
        <f t="shared" si="23"/>
        <v>567269.26375729614</v>
      </c>
      <c r="L156" s="1"/>
    </row>
    <row r="157" spans="1:12" ht="12.6" customHeight="1" thickBot="1" x14ac:dyDescent="0.35">
      <c r="A157" s="1"/>
      <c r="B157" s="33"/>
      <c r="C157" s="34"/>
      <c r="D157" s="34"/>
      <c r="E157" s="35"/>
      <c r="F157" s="36"/>
      <c r="G157" s="24"/>
      <c r="H157" s="36"/>
      <c r="I157" s="36"/>
      <c r="J157" s="36"/>
      <c r="K157" s="36"/>
      <c r="L157" s="1"/>
    </row>
    <row r="158" spans="1:12" ht="14.4" customHeight="1" thickTop="1" x14ac:dyDescent="0.3">
      <c r="A158" s="1"/>
      <c r="B158" s="78" t="str">
        <f>B2</f>
        <v xml:space="preserve"> Empreendimento: Cuiabá Medical Center</v>
      </c>
      <c r="C158" s="2"/>
      <c r="D158" s="72"/>
      <c r="E158" s="3"/>
      <c r="F158" s="3"/>
      <c r="G158" s="3"/>
      <c r="H158" s="3"/>
      <c r="I158" s="37"/>
      <c r="J158" s="103" t="str">
        <f>J119</f>
        <v>Tabela de Vendas – Vigência: Até 30/04/2026</v>
      </c>
      <c r="K158" s="104"/>
      <c r="L158" s="1"/>
    </row>
    <row r="159" spans="1:12" ht="15" thickBot="1" x14ac:dyDescent="0.35">
      <c r="A159" s="1"/>
      <c r="B159" s="80" t="s">
        <v>1</v>
      </c>
      <c r="C159" s="38"/>
      <c r="D159" s="75"/>
      <c r="E159" s="39"/>
      <c r="F159" s="39"/>
      <c r="G159" s="39"/>
      <c r="H159" s="39"/>
      <c r="I159" s="39"/>
      <c r="J159" s="105"/>
      <c r="K159" s="106"/>
      <c r="L159" s="1"/>
    </row>
    <row r="160" spans="1:12" ht="3.6" customHeight="1" thickTop="1" thickBot="1" x14ac:dyDescent="0.35">
      <c r="A160" s="1"/>
      <c r="B160" s="41"/>
      <c r="C160" s="40"/>
      <c r="D160" s="76"/>
      <c r="E160" s="41"/>
      <c r="F160" s="41"/>
      <c r="G160" s="41"/>
      <c r="H160" s="41"/>
      <c r="I160" s="41"/>
      <c r="J160" s="41"/>
      <c r="K160" s="42"/>
      <c r="L160" s="1"/>
    </row>
    <row r="161" spans="1:12" ht="15.6" thickTop="1" thickBot="1" x14ac:dyDescent="0.35">
      <c r="A161" s="1"/>
      <c r="B161" s="108" t="s">
        <v>2</v>
      </c>
      <c r="C161" s="109"/>
      <c r="D161" s="109"/>
      <c r="E161" s="109"/>
      <c r="F161" s="109"/>
      <c r="G161" s="109"/>
      <c r="H161" s="109"/>
      <c r="I161" s="109"/>
      <c r="J161" s="109"/>
      <c r="K161" s="110"/>
      <c r="L161" s="1"/>
    </row>
    <row r="162" spans="1:12" ht="3.6" customHeight="1" thickTop="1" thickBot="1" x14ac:dyDescent="0.35">
      <c r="A162" s="1"/>
      <c r="B162" s="43"/>
      <c r="C162" s="44"/>
      <c r="D162" s="22"/>
      <c r="E162" s="43"/>
      <c r="F162" s="45"/>
      <c r="G162" s="45"/>
      <c r="H162" s="45"/>
      <c r="I162" s="46"/>
      <c r="J162" s="46"/>
      <c r="K162" s="46"/>
      <c r="L162" s="1"/>
    </row>
    <row r="163" spans="1:12" ht="15.6" thickTop="1" thickBot="1" x14ac:dyDescent="0.35">
      <c r="A163" s="1"/>
      <c r="B163" s="111" t="s">
        <v>3</v>
      </c>
      <c r="C163" s="112" t="s">
        <v>4</v>
      </c>
      <c r="D163" s="102" t="s">
        <v>5</v>
      </c>
      <c r="E163" s="102" t="s">
        <v>6</v>
      </c>
      <c r="F163" s="102" t="s">
        <v>7</v>
      </c>
      <c r="G163" s="35"/>
      <c r="H163" s="102" t="s">
        <v>8</v>
      </c>
      <c r="I163" s="101" t="s">
        <v>9</v>
      </c>
      <c r="J163" s="101"/>
      <c r="K163" s="101"/>
      <c r="L163" s="1"/>
    </row>
    <row r="164" spans="1:12" ht="24" x14ac:dyDescent="0.3">
      <c r="A164" s="1"/>
      <c r="B164" s="111"/>
      <c r="C164" s="112"/>
      <c r="D164" s="102"/>
      <c r="E164" s="102"/>
      <c r="F164" s="102"/>
      <c r="G164" s="35"/>
      <c r="H164" s="102"/>
      <c r="I164" s="87" t="s">
        <v>10</v>
      </c>
      <c r="J164" s="87" t="s">
        <v>13</v>
      </c>
      <c r="K164" s="87" t="s">
        <v>12</v>
      </c>
      <c r="L164" s="1"/>
    </row>
    <row r="165" spans="1:12" ht="12" customHeight="1" thickTop="1" x14ac:dyDescent="0.3">
      <c r="A165" s="1"/>
      <c r="B165" s="82"/>
      <c r="C165" s="57"/>
      <c r="D165" s="35"/>
      <c r="E165" s="35"/>
      <c r="F165" s="35"/>
      <c r="G165" s="35"/>
      <c r="H165" s="35"/>
      <c r="I165" s="35"/>
      <c r="J165" s="58"/>
      <c r="K165" s="35"/>
      <c r="L165" s="1"/>
    </row>
    <row r="166" spans="1:12" ht="12" customHeight="1" x14ac:dyDescent="0.3">
      <c r="A166" s="1"/>
      <c r="B166" s="23">
        <v>901</v>
      </c>
      <c r="C166" s="19">
        <v>69.989999999999995</v>
      </c>
      <c r="D166" s="19">
        <v>153.54</v>
      </c>
      <c r="E166" s="20">
        <v>1</v>
      </c>
      <c r="F166" s="21">
        <v>1123305.472786725</v>
      </c>
      <c r="G166" s="24"/>
      <c r="H166" s="21">
        <f t="shared" ref="H166:H180" si="24">F166*H$9</f>
        <v>168495.82091800874</v>
      </c>
      <c r="I166" s="21">
        <f t="shared" ref="I166:I180" si="25">(F166*I$9)/36</f>
        <v>6240.5859599262512</v>
      </c>
      <c r="J166" s="21">
        <f t="shared" ref="J166:J180" si="26">(F166*J$9)/4</f>
        <v>42123.955229502186</v>
      </c>
      <c r="K166" s="21">
        <f t="shared" ref="K166:K180" si="27">F166*K$9</f>
        <v>561652.73639336252</v>
      </c>
      <c r="L166" s="1"/>
    </row>
    <row r="167" spans="1:12" ht="12" customHeight="1" x14ac:dyDescent="0.3">
      <c r="A167" s="1"/>
      <c r="B167" s="23">
        <v>902</v>
      </c>
      <c r="C167" s="19">
        <v>64.3</v>
      </c>
      <c r="D167" s="19">
        <v>143.41999999999999</v>
      </c>
      <c r="E167" s="20">
        <v>1</v>
      </c>
      <c r="F167" s="21">
        <v>1031983.7391082499</v>
      </c>
      <c r="G167" s="24"/>
      <c r="H167" s="21">
        <f t="shared" si="24"/>
        <v>154797.56086623747</v>
      </c>
      <c r="I167" s="21">
        <f t="shared" si="25"/>
        <v>5733.2429950458336</v>
      </c>
      <c r="J167" s="21">
        <f t="shared" si="26"/>
        <v>38699.390216559368</v>
      </c>
      <c r="K167" s="21">
        <f t="shared" si="27"/>
        <v>515991.86955412495</v>
      </c>
      <c r="L167" s="1"/>
    </row>
    <row r="168" spans="1:12" ht="12" customHeight="1" x14ac:dyDescent="0.3">
      <c r="A168" s="1"/>
      <c r="B168" s="23">
        <v>903</v>
      </c>
      <c r="C168" s="19">
        <v>67.75</v>
      </c>
      <c r="D168" s="19">
        <v>149.47</v>
      </c>
      <c r="E168" s="20">
        <v>1</v>
      </c>
      <c r="F168" s="21">
        <v>1087354.5618131252</v>
      </c>
      <c r="G168" s="24"/>
      <c r="H168" s="21">
        <f t="shared" si="24"/>
        <v>163103.18427196876</v>
      </c>
      <c r="I168" s="21">
        <f t="shared" si="25"/>
        <v>6040.8586767395846</v>
      </c>
      <c r="J168" s="21">
        <f t="shared" si="26"/>
        <v>40775.796067992189</v>
      </c>
      <c r="K168" s="21">
        <f t="shared" si="27"/>
        <v>543677.28090656258</v>
      </c>
      <c r="L168" s="1"/>
    </row>
    <row r="169" spans="1:12" ht="12" customHeight="1" x14ac:dyDescent="0.3">
      <c r="A169" s="1"/>
      <c r="B169" s="23">
        <v>904</v>
      </c>
      <c r="C169" s="19">
        <v>65.430000000000007</v>
      </c>
      <c r="D169" s="19">
        <v>145.31</v>
      </c>
      <c r="E169" s="20">
        <v>1</v>
      </c>
      <c r="F169" s="21">
        <v>1050119.689733325</v>
      </c>
      <c r="G169" s="24"/>
      <c r="H169" s="21">
        <f t="shared" si="24"/>
        <v>157517.95345999874</v>
      </c>
      <c r="I169" s="21">
        <f t="shared" si="25"/>
        <v>5833.99827629625</v>
      </c>
      <c r="J169" s="21">
        <f t="shared" si="26"/>
        <v>39379.488364999685</v>
      </c>
      <c r="K169" s="21">
        <f t="shared" si="27"/>
        <v>525059.84486666252</v>
      </c>
      <c r="L169" s="1"/>
    </row>
    <row r="170" spans="1:12" ht="12" customHeight="1" x14ac:dyDescent="0.3">
      <c r="A170" s="1"/>
      <c r="B170" s="23">
        <v>905</v>
      </c>
      <c r="C170" s="19">
        <v>64.3</v>
      </c>
      <c r="D170" s="19">
        <v>143.41999999999999</v>
      </c>
      <c r="E170" s="20">
        <v>1</v>
      </c>
      <c r="F170" s="21">
        <v>1031983.7391082499</v>
      </c>
      <c r="G170" s="24"/>
      <c r="H170" s="21">
        <f t="shared" si="24"/>
        <v>154797.56086623747</v>
      </c>
      <c r="I170" s="21">
        <f t="shared" si="25"/>
        <v>5733.2429950458336</v>
      </c>
      <c r="J170" s="21">
        <f t="shared" si="26"/>
        <v>38699.390216559368</v>
      </c>
      <c r="K170" s="21">
        <f t="shared" si="27"/>
        <v>515991.86955412495</v>
      </c>
      <c r="L170" s="1"/>
    </row>
    <row r="171" spans="1:12" ht="12" customHeight="1" x14ac:dyDescent="0.3">
      <c r="A171" s="1"/>
      <c r="B171" s="23">
        <v>906</v>
      </c>
      <c r="C171" s="19">
        <v>69.989999999999995</v>
      </c>
      <c r="D171" s="19">
        <v>153.54</v>
      </c>
      <c r="E171" s="20">
        <v>1</v>
      </c>
      <c r="F171" s="21">
        <v>1123305.472786725</v>
      </c>
      <c r="G171" s="24"/>
      <c r="H171" s="21">
        <f t="shared" si="24"/>
        <v>168495.82091800874</v>
      </c>
      <c r="I171" s="21">
        <f t="shared" si="25"/>
        <v>6240.5859599262512</v>
      </c>
      <c r="J171" s="21">
        <f t="shared" si="26"/>
        <v>42123.955229502186</v>
      </c>
      <c r="K171" s="21">
        <f t="shared" si="27"/>
        <v>561652.73639336252</v>
      </c>
      <c r="L171" s="1"/>
    </row>
    <row r="172" spans="1:12" ht="12" customHeight="1" x14ac:dyDescent="0.3">
      <c r="A172" s="1"/>
      <c r="B172" s="23">
        <v>907</v>
      </c>
      <c r="C172" s="19">
        <v>69.989999999999995</v>
      </c>
      <c r="D172" s="19">
        <v>153.54</v>
      </c>
      <c r="E172" s="20">
        <v>1</v>
      </c>
      <c r="F172" s="21">
        <v>1134538.5275145923</v>
      </c>
      <c r="G172" s="22"/>
      <c r="H172" s="21">
        <f t="shared" si="24"/>
        <v>170180.77912718884</v>
      </c>
      <c r="I172" s="21">
        <f t="shared" si="25"/>
        <v>6302.9918195255123</v>
      </c>
      <c r="J172" s="21">
        <f t="shared" si="26"/>
        <v>42545.19478179721</v>
      </c>
      <c r="K172" s="21">
        <f t="shared" si="27"/>
        <v>567269.26375729614</v>
      </c>
      <c r="L172" s="1"/>
    </row>
    <row r="173" spans="1:12" ht="12" customHeight="1" x14ac:dyDescent="0.3">
      <c r="A173" s="1"/>
      <c r="B173" s="23">
        <v>908</v>
      </c>
      <c r="C173" s="19">
        <v>64.3</v>
      </c>
      <c r="D173" s="19">
        <v>143.41999999999999</v>
      </c>
      <c r="E173" s="20">
        <v>1</v>
      </c>
      <c r="F173" s="21">
        <v>1042303.5764993324</v>
      </c>
      <c r="G173" s="22"/>
      <c r="H173" s="21">
        <f t="shared" si="24"/>
        <v>156345.53647489985</v>
      </c>
      <c r="I173" s="21">
        <f t="shared" si="25"/>
        <v>5790.575424996292</v>
      </c>
      <c r="J173" s="21">
        <f t="shared" si="26"/>
        <v>39086.384118724964</v>
      </c>
      <c r="K173" s="21">
        <f t="shared" si="27"/>
        <v>521151.78824966622</v>
      </c>
      <c r="L173" s="1"/>
    </row>
    <row r="174" spans="1:12" ht="12" customHeight="1" x14ac:dyDescent="0.3">
      <c r="A174" s="1"/>
      <c r="B174" s="23">
        <v>909</v>
      </c>
      <c r="C174" s="19">
        <v>64.22</v>
      </c>
      <c r="D174" s="19">
        <v>143.19</v>
      </c>
      <c r="E174" s="20">
        <v>1</v>
      </c>
      <c r="F174" s="21">
        <v>1041006.7757820704</v>
      </c>
      <c r="G174" s="22"/>
      <c r="H174" s="21">
        <f t="shared" si="24"/>
        <v>156151.01636731054</v>
      </c>
      <c r="I174" s="21">
        <f t="shared" si="25"/>
        <v>5783.3709765670583</v>
      </c>
      <c r="J174" s="21">
        <f t="shared" si="26"/>
        <v>39037.754091827635</v>
      </c>
      <c r="K174" s="21">
        <f t="shared" si="27"/>
        <v>520503.38789103518</v>
      </c>
      <c r="L174" s="1"/>
    </row>
    <row r="175" spans="1:12" ht="12" customHeight="1" x14ac:dyDescent="0.3">
      <c r="A175" s="1"/>
      <c r="B175" s="23">
        <v>910</v>
      </c>
      <c r="C175" s="19">
        <v>67.44</v>
      </c>
      <c r="D175" s="19">
        <v>149.01</v>
      </c>
      <c r="E175" s="20">
        <v>1</v>
      </c>
      <c r="F175" s="21">
        <v>1093203.0046518659</v>
      </c>
      <c r="G175" s="22"/>
      <c r="H175" s="21">
        <f t="shared" si="24"/>
        <v>163980.45069777989</v>
      </c>
      <c r="I175" s="21">
        <f t="shared" si="25"/>
        <v>6073.3500258436998</v>
      </c>
      <c r="J175" s="21">
        <f t="shared" si="26"/>
        <v>40995.112674444972</v>
      </c>
      <c r="K175" s="21">
        <f t="shared" si="27"/>
        <v>546601.50232593296</v>
      </c>
      <c r="L175" s="1"/>
    </row>
    <row r="176" spans="1:12" ht="12" customHeight="1" x14ac:dyDescent="0.3">
      <c r="A176" s="1"/>
      <c r="B176" s="23">
        <v>911</v>
      </c>
      <c r="C176" s="19">
        <v>67.44</v>
      </c>
      <c r="D176" s="19">
        <v>149.01</v>
      </c>
      <c r="E176" s="20">
        <v>1</v>
      </c>
      <c r="F176" s="21">
        <v>1093203.0046518659</v>
      </c>
      <c r="G176" s="24"/>
      <c r="H176" s="21">
        <f t="shared" si="24"/>
        <v>163980.45069777989</v>
      </c>
      <c r="I176" s="21">
        <f t="shared" si="25"/>
        <v>6073.3500258436998</v>
      </c>
      <c r="J176" s="21">
        <f t="shared" si="26"/>
        <v>40995.112674444972</v>
      </c>
      <c r="K176" s="21">
        <f t="shared" si="27"/>
        <v>546601.50232593296</v>
      </c>
      <c r="L176" s="1"/>
    </row>
    <row r="177" spans="1:12" ht="12" customHeight="1" x14ac:dyDescent="0.3">
      <c r="A177" s="1"/>
      <c r="B177" s="23">
        <v>912</v>
      </c>
      <c r="C177" s="19">
        <v>68.62</v>
      </c>
      <c r="D177" s="19">
        <v>151.1</v>
      </c>
      <c r="E177" s="20">
        <v>1</v>
      </c>
      <c r="F177" s="21">
        <v>1112330.8152314804</v>
      </c>
      <c r="G177" s="24"/>
      <c r="H177" s="21">
        <f t="shared" si="24"/>
        <v>166849.62228472205</v>
      </c>
      <c r="I177" s="21">
        <f t="shared" si="25"/>
        <v>6179.6156401748922</v>
      </c>
      <c r="J177" s="21">
        <f t="shared" si="26"/>
        <v>41712.405571180512</v>
      </c>
      <c r="K177" s="21">
        <f t="shared" si="27"/>
        <v>556165.4076157402</v>
      </c>
      <c r="L177" s="1"/>
    </row>
    <row r="178" spans="1:12" ht="12" customHeight="1" x14ac:dyDescent="0.3">
      <c r="A178" s="1"/>
      <c r="B178" s="23">
        <v>913</v>
      </c>
      <c r="C178" s="19">
        <v>65.39</v>
      </c>
      <c r="D178" s="19">
        <v>145.27000000000001</v>
      </c>
      <c r="E178" s="20">
        <v>1</v>
      </c>
      <c r="F178" s="65">
        <v>1059972.4862720273</v>
      </c>
      <c r="G178" s="24"/>
      <c r="H178" s="65">
        <f t="shared" si="24"/>
        <v>158995.87294080408</v>
      </c>
      <c r="I178" s="65">
        <f t="shared" si="25"/>
        <v>5888.7360348445964</v>
      </c>
      <c r="J178" s="65">
        <f t="shared" si="26"/>
        <v>39748.96823520102</v>
      </c>
      <c r="K178" s="65">
        <f t="shared" si="27"/>
        <v>529986.24313601363</v>
      </c>
      <c r="L178" s="1"/>
    </row>
    <row r="179" spans="1:12" ht="12" customHeight="1" x14ac:dyDescent="0.3">
      <c r="A179" s="1"/>
      <c r="B179" s="23">
        <v>914</v>
      </c>
      <c r="C179" s="19">
        <v>64.3</v>
      </c>
      <c r="D179" s="19">
        <v>143.41999999999999</v>
      </c>
      <c r="E179" s="20">
        <v>1</v>
      </c>
      <c r="F179" s="21">
        <v>1042303.5764993324</v>
      </c>
      <c r="G179" s="66"/>
      <c r="H179" s="21">
        <f t="shared" si="24"/>
        <v>156345.53647489985</v>
      </c>
      <c r="I179" s="21">
        <f t="shared" si="25"/>
        <v>5790.575424996292</v>
      </c>
      <c r="J179" s="21">
        <f t="shared" si="26"/>
        <v>39086.384118724964</v>
      </c>
      <c r="K179" s="21">
        <f t="shared" si="27"/>
        <v>521151.78824966622</v>
      </c>
      <c r="L179" s="1"/>
    </row>
    <row r="180" spans="1:12" ht="12" customHeight="1" x14ac:dyDescent="0.3">
      <c r="A180" s="1"/>
      <c r="B180" s="25">
        <v>915</v>
      </c>
      <c r="C180" s="19">
        <v>69.989999999999995</v>
      </c>
      <c r="D180" s="19">
        <v>153.54</v>
      </c>
      <c r="E180" s="20">
        <v>1</v>
      </c>
      <c r="F180" s="21">
        <v>1134538.5275145923</v>
      </c>
      <c r="G180" s="66"/>
      <c r="H180" s="21">
        <f t="shared" si="24"/>
        <v>170180.77912718884</v>
      </c>
      <c r="I180" s="21">
        <f t="shared" si="25"/>
        <v>6302.9918195255123</v>
      </c>
      <c r="J180" s="21">
        <f t="shared" si="26"/>
        <v>42545.19478179721</v>
      </c>
      <c r="K180" s="21">
        <f t="shared" si="27"/>
        <v>567269.26375729614</v>
      </c>
      <c r="L180" s="1"/>
    </row>
    <row r="181" spans="1:12" s="84" customFormat="1" x14ac:dyDescent="0.3">
      <c r="A181" s="13"/>
      <c r="B181" s="88"/>
      <c r="C181" s="89">
        <f>SUM(C166:C180,C127:C156,C88:C117,C49:C78,C10:C39,)</f>
        <v>9031.0499999999975</v>
      </c>
      <c r="D181" s="89">
        <f t="shared" ref="D181:K181" si="28">SUM(D166:D180,D127:D156,D88:D117,D49:D78,D10:D39,)</f>
        <v>19981.800000000003</v>
      </c>
      <c r="E181" s="89">
        <f t="shared" si="28"/>
        <v>135</v>
      </c>
      <c r="F181" s="90">
        <f t="shared" si="28"/>
        <v>143181954.83021659</v>
      </c>
      <c r="G181" s="90">
        <f t="shared" si="28"/>
        <v>0</v>
      </c>
      <c r="H181" s="90">
        <f>SUM(H166:H180,H127:H156,H88:H117,H49:H78,H10:H39,)</f>
        <v>21477293.224532492</v>
      </c>
      <c r="I181" s="90">
        <f>SUM(I166:I180,I127:I156,I88:I117,I49:I78,I10:I39,)*F9</f>
        <v>28636390.96604332</v>
      </c>
      <c r="J181" s="90">
        <f>SUM(J166:J180,J127:J156,J88:J117,J49:J78,J10:J39,)*E9</f>
        <v>21477293.224532492</v>
      </c>
      <c r="K181" s="90">
        <f t="shared" si="28"/>
        <v>71590977.415108293</v>
      </c>
      <c r="L181" s="91"/>
    </row>
    <row r="182" spans="1:12" s="84" customFormat="1" x14ac:dyDescent="0.3">
      <c r="A182" s="92"/>
      <c r="B182" s="92"/>
      <c r="C182" s="93"/>
      <c r="D182" s="94"/>
      <c r="E182" s="93"/>
      <c r="F182" s="95">
        <f>SUM(H181:K181)-F181</f>
        <v>0</v>
      </c>
      <c r="G182" s="95"/>
      <c r="H182" s="95"/>
      <c r="I182" s="95"/>
      <c r="J182" s="95"/>
      <c r="K182" s="95"/>
      <c r="L182" s="93"/>
    </row>
    <row r="183" spans="1:12" x14ac:dyDescent="0.3">
      <c r="A183" s="69"/>
      <c r="B183" s="69"/>
      <c r="C183" s="69"/>
      <c r="D183" s="77"/>
      <c r="E183" s="69"/>
      <c r="F183" s="69"/>
      <c r="G183" s="69"/>
      <c r="H183" s="69"/>
      <c r="I183" s="69"/>
      <c r="J183" s="69"/>
      <c r="K183" s="69"/>
      <c r="L183" s="69"/>
    </row>
    <row r="184" spans="1:12" x14ac:dyDescent="0.3">
      <c r="A184" s="69"/>
      <c r="B184" s="69"/>
      <c r="C184" s="69"/>
      <c r="D184" s="77"/>
      <c r="E184" s="69"/>
      <c r="F184" s="69"/>
      <c r="G184" s="69"/>
      <c r="H184" s="69"/>
      <c r="I184" s="69"/>
      <c r="J184" s="69"/>
      <c r="K184" s="69"/>
      <c r="L184" s="69"/>
    </row>
    <row r="185" spans="1:12" x14ac:dyDescent="0.3">
      <c r="A185" s="69"/>
      <c r="B185" s="69"/>
      <c r="C185" s="69"/>
      <c r="D185" s="77"/>
      <c r="E185" s="69"/>
      <c r="F185" s="69"/>
      <c r="G185" s="69"/>
      <c r="H185" s="69"/>
      <c r="I185" s="69"/>
      <c r="J185" s="69"/>
      <c r="K185" s="69"/>
      <c r="L185" s="69"/>
    </row>
    <row r="186" spans="1:12" x14ac:dyDescent="0.3">
      <c r="A186" s="69"/>
      <c r="B186" s="69"/>
      <c r="C186" s="69"/>
      <c r="D186" s="77"/>
      <c r="E186" s="69"/>
      <c r="F186" s="69"/>
      <c r="G186" s="69"/>
      <c r="H186" s="69"/>
      <c r="I186" s="69"/>
      <c r="J186" s="69"/>
      <c r="K186" s="69"/>
      <c r="L186" s="69"/>
    </row>
    <row r="187" spans="1:12" x14ac:dyDescent="0.3">
      <c r="A187" s="69"/>
      <c r="B187" s="69"/>
      <c r="C187" s="69"/>
      <c r="D187" s="77"/>
      <c r="E187" s="69"/>
      <c r="F187" s="69"/>
      <c r="G187" s="69"/>
      <c r="H187" s="69"/>
      <c r="I187" s="69"/>
      <c r="J187" s="69"/>
      <c r="K187" s="69"/>
      <c r="L187" s="69"/>
    </row>
    <row r="188" spans="1:12" x14ac:dyDescent="0.3">
      <c r="A188" s="69"/>
      <c r="B188" s="69"/>
      <c r="C188" s="69"/>
      <c r="D188" s="77"/>
      <c r="E188" s="69"/>
      <c r="F188" s="69"/>
      <c r="G188" s="69"/>
      <c r="H188" s="69"/>
      <c r="I188" s="69"/>
      <c r="J188" s="69"/>
      <c r="K188" s="69"/>
      <c r="L188" s="69"/>
    </row>
    <row r="189" spans="1:12" x14ac:dyDescent="0.3">
      <c r="A189" s="69"/>
      <c r="B189" s="69"/>
      <c r="C189" s="69"/>
      <c r="D189" s="77"/>
      <c r="E189" s="69"/>
      <c r="F189" s="69"/>
      <c r="G189" s="69"/>
      <c r="H189" s="69"/>
      <c r="I189" s="69"/>
      <c r="J189" s="69"/>
      <c r="K189" s="69"/>
      <c r="L189" s="69"/>
    </row>
    <row r="190" spans="1:12" x14ac:dyDescent="0.3">
      <c r="A190" s="69"/>
      <c r="B190" s="69"/>
      <c r="C190" s="69"/>
      <c r="D190" s="77"/>
      <c r="E190" s="69"/>
      <c r="F190" s="69"/>
      <c r="G190" s="69"/>
      <c r="H190" s="69"/>
      <c r="I190" s="69"/>
      <c r="J190" s="69"/>
      <c r="K190" s="69"/>
      <c r="L190" s="69"/>
    </row>
    <row r="191" spans="1:12" x14ac:dyDescent="0.3">
      <c r="A191" s="69"/>
      <c r="B191" s="69"/>
      <c r="C191" s="69"/>
      <c r="D191" s="77"/>
      <c r="E191" s="69"/>
      <c r="F191" s="69"/>
      <c r="G191" s="69"/>
      <c r="H191" s="69"/>
      <c r="I191" s="69"/>
      <c r="J191" s="69"/>
      <c r="K191" s="69"/>
      <c r="L191" s="69"/>
    </row>
    <row r="192" spans="1:12" x14ac:dyDescent="0.3">
      <c r="A192" s="69"/>
      <c r="B192" s="69"/>
      <c r="C192" s="69"/>
      <c r="D192" s="77"/>
      <c r="E192" s="69"/>
      <c r="F192" s="69"/>
      <c r="G192" s="69"/>
      <c r="H192" s="69"/>
      <c r="I192" s="69"/>
      <c r="J192" s="69"/>
      <c r="K192" s="69"/>
      <c r="L192" s="69"/>
    </row>
    <row r="193" spans="1:12" x14ac:dyDescent="0.3">
      <c r="A193" s="69"/>
      <c r="B193" s="69"/>
      <c r="C193" s="69"/>
      <c r="D193" s="77"/>
      <c r="E193" s="69"/>
      <c r="F193" s="69"/>
      <c r="G193" s="69"/>
      <c r="H193" s="69"/>
      <c r="I193" s="69"/>
      <c r="J193" s="69"/>
      <c r="K193" s="69"/>
      <c r="L193" s="69"/>
    </row>
    <row r="194" spans="1:12" x14ac:dyDescent="0.3">
      <c r="A194" s="69"/>
      <c r="B194" s="69"/>
      <c r="C194" s="69"/>
      <c r="D194" s="77"/>
      <c r="E194" s="69"/>
      <c r="F194" s="69"/>
      <c r="G194" s="69"/>
      <c r="H194" s="69"/>
      <c r="I194" s="69"/>
      <c r="J194" s="69"/>
      <c r="K194" s="69"/>
      <c r="L194" s="69"/>
    </row>
    <row r="195" spans="1:12" x14ac:dyDescent="0.3">
      <c r="A195" s="69"/>
      <c r="B195" s="69"/>
      <c r="C195" s="69"/>
      <c r="D195" s="77"/>
      <c r="E195" s="69"/>
      <c r="F195" s="69"/>
      <c r="G195" s="69"/>
      <c r="H195" s="69"/>
      <c r="I195" s="69"/>
      <c r="J195" s="69"/>
      <c r="K195" s="69"/>
      <c r="L195" s="69"/>
    </row>
    <row r="196" spans="1:12" x14ac:dyDescent="0.3">
      <c r="A196" s="69"/>
      <c r="B196" s="69"/>
      <c r="C196" s="69"/>
      <c r="D196" s="77"/>
      <c r="E196" s="69"/>
      <c r="F196" s="69"/>
      <c r="G196" s="69"/>
      <c r="H196" s="69"/>
      <c r="I196" s="69"/>
      <c r="J196" s="69"/>
      <c r="K196" s="69"/>
      <c r="L196" s="69"/>
    </row>
    <row r="197" spans="1:12" x14ac:dyDescent="0.3">
      <c r="A197" s="69"/>
      <c r="B197" s="69"/>
      <c r="C197" s="69"/>
      <c r="D197" s="77"/>
      <c r="E197" s="69"/>
      <c r="F197" s="69"/>
      <c r="G197" s="69"/>
      <c r="H197" s="69"/>
      <c r="I197" s="69"/>
      <c r="J197" s="69"/>
      <c r="K197" s="69"/>
      <c r="L197" s="69"/>
    </row>
    <row r="198" spans="1:12" x14ac:dyDescent="0.3">
      <c r="A198" s="69"/>
      <c r="B198" s="69"/>
      <c r="C198" s="69"/>
      <c r="D198" s="77"/>
      <c r="E198" s="69"/>
      <c r="F198" s="69"/>
      <c r="G198" s="69"/>
      <c r="H198" s="69"/>
      <c r="I198" s="69"/>
      <c r="J198" s="69"/>
      <c r="K198" s="69"/>
      <c r="L198" s="69"/>
    </row>
    <row r="199" spans="1:12" x14ac:dyDescent="0.3">
      <c r="A199" s="69"/>
      <c r="B199" s="69"/>
      <c r="C199" s="69"/>
      <c r="D199" s="77"/>
      <c r="E199" s="69"/>
      <c r="F199" s="69"/>
      <c r="G199" s="69"/>
      <c r="H199" s="69"/>
      <c r="I199" s="69"/>
      <c r="J199" s="69"/>
      <c r="K199" s="69"/>
      <c r="L199" s="69"/>
    </row>
    <row r="200" spans="1:12" x14ac:dyDescent="0.3">
      <c r="A200" s="69"/>
      <c r="B200" s="69"/>
      <c r="C200" s="69"/>
      <c r="D200" s="77"/>
      <c r="E200" s="69"/>
      <c r="F200" s="69"/>
      <c r="G200" s="69"/>
      <c r="H200" s="69"/>
      <c r="I200" s="69"/>
      <c r="J200" s="69"/>
      <c r="K200" s="69"/>
      <c r="L200" s="69"/>
    </row>
    <row r="201" spans="1:12" x14ac:dyDescent="0.3">
      <c r="A201" s="69"/>
      <c r="B201" s="69"/>
      <c r="C201" s="69"/>
      <c r="D201" s="77"/>
      <c r="E201" s="69"/>
      <c r="F201" s="69"/>
      <c r="G201" s="69"/>
      <c r="H201" s="69"/>
      <c r="I201" s="69"/>
      <c r="J201" s="69"/>
      <c r="K201" s="69"/>
      <c r="L201" s="69"/>
    </row>
    <row r="202" spans="1:12" x14ac:dyDescent="0.3">
      <c r="A202" s="69"/>
      <c r="B202" s="69"/>
      <c r="C202" s="69"/>
      <c r="D202" s="77"/>
      <c r="E202" s="69"/>
      <c r="F202" s="69"/>
      <c r="G202" s="69"/>
      <c r="H202" s="69"/>
      <c r="I202" s="69"/>
      <c r="J202" s="69"/>
      <c r="K202" s="69"/>
      <c r="L202" s="69"/>
    </row>
    <row r="203" spans="1:12" x14ac:dyDescent="0.3">
      <c r="A203" s="69"/>
      <c r="B203" s="69"/>
      <c r="C203" s="69"/>
      <c r="D203" s="77"/>
      <c r="E203" s="69"/>
      <c r="F203" s="69"/>
      <c r="G203" s="69"/>
      <c r="H203" s="69"/>
      <c r="I203" s="69"/>
      <c r="J203" s="69"/>
      <c r="K203" s="69"/>
      <c r="L203" s="69"/>
    </row>
    <row r="204" spans="1:12" x14ac:dyDescent="0.3">
      <c r="A204" s="69"/>
      <c r="B204" s="69"/>
      <c r="C204" s="69"/>
      <c r="D204" s="77"/>
      <c r="E204" s="69"/>
      <c r="F204" s="69"/>
      <c r="G204" s="69"/>
      <c r="H204" s="69"/>
      <c r="I204" s="69"/>
      <c r="J204" s="69"/>
      <c r="K204" s="69"/>
      <c r="L204" s="69"/>
    </row>
    <row r="205" spans="1:12" x14ac:dyDescent="0.3">
      <c r="A205" s="69"/>
      <c r="B205" s="69"/>
      <c r="C205" s="69"/>
      <c r="D205" s="77"/>
      <c r="E205" s="69"/>
      <c r="F205" s="69"/>
      <c r="G205" s="69"/>
      <c r="H205" s="69"/>
      <c r="I205" s="69"/>
      <c r="J205" s="69"/>
      <c r="K205" s="69"/>
      <c r="L205" s="69"/>
    </row>
    <row r="206" spans="1:12" x14ac:dyDescent="0.3">
      <c r="A206" s="69"/>
      <c r="B206" s="69"/>
      <c r="C206" s="69"/>
      <c r="D206" s="77"/>
      <c r="E206" s="69"/>
      <c r="F206" s="69"/>
      <c r="G206" s="69"/>
      <c r="H206" s="69"/>
      <c r="I206" s="69"/>
      <c r="J206" s="69"/>
      <c r="K206" s="69"/>
      <c r="L206" s="69"/>
    </row>
    <row r="207" spans="1:12" x14ac:dyDescent="0.3">
      <c r="A207" s="69"/>
      <c r="B207" s="69"/>
      <c r="C207" s="69"/>
      <c r="D207" s="77"/>
      <c r="E207" s="69"/>
      <c r="F207" s="69"/>
      <c r="G207" s="69"/>
      <c r="H207" s="69"/>
      <c r="I207" s="69"/>
      <c r="J207" s="69"/>
      <c r="K207" s="69"/>
      <c r="L207" s="69"/>
    </row>
    <row r="208" spans="1:12" x14ac:dyDescent="0.3">
      <c r="A208" s="69"/>
      <c r="B208" s="69"/>
      <c r="C208" s="69"/>
      <c r="D208" s="77"/>
      <c r="E208" s="69"/>
      <c r="F208" s="69"/>
      <c r="G208" s="69"/>
      <c r="H208" s="69"/>
      <c r="I208" s="69"/>
      <c r="J208" s="69"/>
      <c r="K208" s="69"/>
      <c r="L208" s="69"/>
    </row>
    <row r="209" spans="1:12" x14ac:dyDescent="0.3">
      <c r="A209" s="69"/>
      <c r="B209" s="69"/>
      <c r="C209" s="69"/>
      <c r="D209" s="77"/>
      <c r="E209" s="69"/>
      <c r="F209" s="69"/>
      <c r="G209" s="69"/>
      <c r="H209" s="69"/>
      <c r="I209" s="69"/>
      <c r="J209" s="69"/>
      <c r="K209" s="69"/>
      <c r="L209" s="69"/>
    </row>
    <row r="210" spans="1:12" x14ac:dyDescent="0.3">
      <c r="A210" s="69"/>
      <c r="B210" s="69"/>
      <c r="C210" s="69"/>
      <c r="D210" s="77"/>
      <c r="E210" s="69"/>
      <c r="F210" s="69"/>
      <c r="G210" s="69"/>
      <c r="H210" s="69"/>
      <c r="I210" s="69"/>
      <c r="J210" s="69"/>
      <c r="K210" s="69"/>
      <c r="L210" s="69"/>
    </row>
    <row r="211" spans="1:12" x14ac:dyDescent="0.3">
      <c r="A211" s="69"/>
      <c r="B211" s="69"/>
      <c r="C211" s="69"/>
      <c r="D211" s="77"/>
      <c r="E211" s="69"/>
      <c r="F211" s="69"/>
      <c r="G211" s="69"/>
      <c r="H211" s="69"/>
      <c r="I211" s="69"/>
      <c r="J211" s="69"/>
      <c r="K211" s="69"/>
      <c r="L211" s="69"/>
    </row>
    <row r="212" spans="1:12" x14ac:dyDescent="0.3">
      <c r="A212" s="69"/>
      <c r="B212" s="69"/>
      <c r="C212" s="69"/>
      <c r="D212" s="77"/>
      <c r="E212" s="69"/>
      <c r="F212" s="69"/>
      <c r="G212" s="69"/>
      <c r="H212" s="69"/>
      <c r="I212" s="69"/>
      <c r="J212" s="69"/>
      <c r="K212" s="69"/>
      <c r="L212" s="69"/>
    </row>
    <row r="213" spans="1:12" x14ac:dyDescent="0.3">
      <c r="A213" s="69"/>
      <c r="B213" s="69"/>
      <c r="C213" s="69"/>
      <c r="D213" s="77"/>
      <c r="E213" s="69"/>
      <c r="F213" s="69"/>
      <c r="G213" s="69"/>
      <c r="H213" s="69"/>
      <c r="I213" s="69"/>
      <c r="J213" s="69"/>
      <c r="K213" s="69"/>
      <c r="L213" s="69"/>
    </row>
    <row r="214" spans="1:12" x14ac:dyDescent="0.3">
      <c r="A214" s="69"/>
      <c r="B214" s="69"/>
      <c r="C214" s="69"/>
      <c r="D214" s="77"/>
      <c r="E214" s="69"/>
      <c r="F214" s="69"/>
      <c r="G214" s="69"/>
      <c r="H214" s="69"/>
      <c r="I214" s="69"/>
      <c r="J214" s="69"/>
      <c r="K214" s="69"/>
      <c r="L214" s="69"/>
    </row>
    <row r="215" spans="1:12" x14ac:dyDescent="0.3">
      <c r="A215" s="69"/>
      <c r="B215" s="69"/>
      <c r="C215" s="69"/>
      <c r="D215" s="77"/>
      <c r="E215" s="69"/>
      <c r="F215" s="69"/>
      <c r="G215" s="69"/>
      <c r="H215" s="69"/>
      <c r="I215" s="69"/>
      <c r="J215" s="69"/>
      <c r="K215" s="69"/>
      <c r="L215" s="69"/>
    </row>
  </sheetData>
  <mergeCells count="45">
    <mergeCell ref="J158:K159"/>
    <mergeCell ref="B161:K161"/>
    <mergeCell ref="B163:B164"/>
    <mergeCell ref="C163:C164"/>
    <mergeCell ref="D163:D164"/>
    <mergeCell ref="E163:E164"/>
    <mergeCell ref="F163:F164"/>
    <mergeCell ref="H163:H164"/>
    <mergeCell ref="I163:K163"/>
    <mergeCell ref="J119:K120"/>
    <mergeCell ref="B83:K83"/>
    <mergeCell ref="B85:B86"/>
    <mergeCell ref="C85:C86"/>
    <mergeCell ref="D85:D86"/>
    <mergeCell ref="E85:E86"/>
    <mergeCell ref="F85:F86"/>
    <mergeCell ref="B122:K122"/>
    <mergeCell ref="B124:B125"/>
    <mergeCell ref="C124:C125"/>
    <mergeCell ref="D124:D125"/>
    <mergeCell ref="E124:E125"/>
    <mergeCell ref="F124:F125"/>
    <mergeCell ref="H124:H125"/>
    <mergeCell ref="I124:K124"/>
    <mergeCell ref="J2:K4"/>
    <mergeCell ref="B44:K44"/>
    <mergeCell ref="B46:B47"/>
    <mergeCell ref="C46:C47"/>
    <mergeCell ref="D46:D47"/>
    <mergeCell ref="E46:E47"/>
    <mergeCell ref="F46:F47"/>
    <mergeCell ref="H46:H47"/>
    <mergeCell ref="I46:K46"/>
    <mergeCell ref="J41:K42"/>
    <mergeCell ref="B5:K5"/>
    <mergeCell ref="B7:B8"/>
    <mergeCell ref="C7:C8"/>
    <mergeCell ref="D7:D8"/>
    <mergeCell ref="E7:E8"/>
    <mergeCell ref="F7:F8"/>
    <mergeCell ref="H7:H8"/>
    <mergeCell ref="I7:K7"/>
    <mergeCell ref="H85:H86"/>
    <mergeCell ref="I85:K85"/>
    <mergeCell ref="J80:K81"/>
  </mergeCells>
  <pageMargins left="0.51181102362204722" right="0.51181102362204722" top="0.78740157480314965" bottom="0.59055118110236227" header="0.31496062992125984" footer="0.31496062992125984"/>
  <pageSetup paperSize="9" scale="92" orientation="landscape" horizontalDpi="4294967293" r:id="rId1"/>
  <ignoredErrors>
    <ignoredError sqref="E181:F18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Medical 20.04.2026</vt:lpstr>
      <vt:lpstr>'Tabela Medical 20.04.2026'!Area_de_impressao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cid lauro vale</dc:creator>
  <cp:keywords/>
  <dc:description/>
  <cp:lastModifiedBy>cid lauro vale</cp:lastModifiedBy>
  <cp:revision/>
  <dcterms:created xsi:type="dcterms:W3CDTF">2025-11-04T19:12:37Z</dcterms:created>
  <dcterms:modified xsi:type="dcterms:W3CDTF">2026-04-20T22:19:17Z</dcterms:modified>
  <cp:category/>
  <cp:contentStatus/>
</cp:coreProperties>
</file>